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0116 SSI Excel 2016 Advanced\Excel 2016 Advanced Exercise Files\"/>
    </mc:Choice>
  </mc:AlternateContent>
  <bookViews>
    <workbookView xWindow="0" yWindow="0" windowWidth="15330" windowHeight="8280"/>
  </bookViews>
  <sheets>
    <sheet name="Invoice" sheetId="1" r:id="rId1"/>
    <sheet name="Catalogue" sheetId="2" r:id="rId2"/>
  </sheets>
  <definedNames>
    <definedName name="PartsCatalog">Catalogue!$A$2:$C$85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1" l="1"/>
  <c r="E8" i="1"/>
  <c r="E9" i="1"/>
  <c r="G9" i="1" s="1"/>
  <c r="E10" i="1"/>
  <c r="E11" i="1"/>
  <c r="E12" i="1"/>
  <c r="F12" i="1" s="1"/>
  <c r="D7" i="1"/>
  <c r="F7" i="1" s="1"/>
  <c r="D8" i="1"/>
  <c r="D9" i="1"/>
  <c r="D10" i="1"/>
  <c r="D11" i="1"/>
  <c r="F11" i="1" s="1"/>
  <c r="D12" i="1"/>
  <c r="H9" i="1"/>
  <c r="H12" i="1"/>
  <c r="B13" i="1"/>
  <c r="D15" i="1" s="1"/>
  <c r="F10" i="1" l="1"/>
  <c r="F8" i="1"/>
  <c r="F9" i="1"/>
  <c r="G11" i="1"/>
  <c r="H11" i="1" s="1"/>
  <c r="G7" i="1"/>
  <c r="H7" i="1" s="1"/>
  <c r="G12" i="1"/>
  <c r="G10" i="1"/>
  <c r="G8" i="1"/>
  <c r="H10" i="1"/>
  <c r="H8" i="1"/>
  <c r="C2" i="1"/>
  <c r="H13" i="1" l="1"/>
  <c r="H3" i="1" s="1"/>
</calcChain>
</file>

<file path=xl/sharedStrings.xml><?xml version="1.0" encoding="utf-8"?>
<sst xmlns="http://schemas.openxmlformats.org/spreadsheetml/2006/main" count="98" uniqueCount="95">
  <si>
    <t>Quantity</t>
  </si>
  <si>
    <t>Part No.</t>
  </si>
  <si>
    <t>Description</t>
  </si>
  <si>
    <t>ORDER DETAILS</t>
  </si>
  <si>
    <t>Unit price</t>
  </si>
  <si>
    <t>Total price</t>
  </si>
  <si>
    <t>Extractor Fans : Bathroom : Manrose Axial 20W Pullcord Bathroom Fan</t>
  </si>
  <si>
    <t>Door Handles : Door Packs Modern : Urfic Door Pack Nevada Polished Nickel</t>
  </si>
  <si>
    <t>Door Handles : Door Packs Modern : Urfic Door Pack Constance Satin Nickel</t>
  </si>
  <si>
    <t>Door Handles : Door Packs Modern : Urfic Door Pack Constance Polished Nickel</t>
  </si>
  <si>
    <t>Door Handles : Door Packs Modern : Urfic Door Pack Nevada Satin Nickel</t>
  </si>
  <si>
    <t>Door Handles : Lever On Backplate Modern : Urfic Latch Door Handle Victoria Polished Brass</t>
  </si>
  <si>
    <t>Door Handles : Lever On Backplate Modern : Serozzetta Cuatro Lever on Backplate Latch Polished Chrome</t>
  </si>
  <si>
    <t>Door Handles : Lever On Backplate Modern : Toulouse Lever Lock Polished Chrome &amp; Satin Nickel</t>
  </si>
  <si>
    <t>Door Handles : Lever On Backplate Modern : Serozzetta Uno Lever on Backplate Lock Polished Chrome</t>
  </si>
  <si>
    <t>Door Handles : Lever On Backplate Modern : Serozzetta Dos Lever on Backplate Lock Polished Chrome</t>
  </si>
  <si>
    <t>Door Handles : Lever On Backplate Modern : Serozzetta Cuatro Lever on Backplate Latch Satin Chrome</t>
  </si>
  <si>
    <t>Door Handles : Lever On Backplate Modern : Bordeaux Lever Latch Brushed Nickel</t>
  </si>
  <si>
    <t>Door Handles : Lever On Backplate Modern : Bordeaux Lever Lock Polished Chrome</t>
  </si>
  <si>
    <t>Door Handles : Lever On Backplate Modern : Serozzetta Dos Lever on Backplate Lock Satin Chrome</t>
  </si>
  <si>
    <t>Door Handles : Lever On Backplate Modern : Serozzetta Uno Lever on Backplate Lock Satin Chrome</t>
  </si>
  <si>
    <t>Door Handles : Lever On Backplate Modern : Eclipse Cadenza Latch Door Handle Polished Chrome</t>
  </si>
  <si>
    <t>Door Handles : Lever On Backplate Modern : Bordeaux Lever Latch Satin Nickel</t>
  </si>
  <si>
    <t>Door Handles : Lever On Backplate Modern : Eclipse Cadenza Latch Door Handle Satin Chrome</t>
  </si>
  <si>
    <t>Door Handles : Lever On Backplate Modern : Eclipse Cadenza Lock Door Handle Polished Brass</t>
  </si>
  <si>
    <t>Door Handles : Lever On Backplate Traditional : Urfic Latch Door Handle Ashworth Polished Brass</t>
  </si>
  <si>
    <t>Door Handles : Mortice Sets Traditional : Jedo Fluted Door Knob Polished Chrome 56mm</t>
  </si>
  <si>
    <t>Door Handles : Mortice Sets Traditional : Jedo Fluted Door Knob Antique Bronze 56mm</t>
  </si>
  <si>
    <t>Door Handles : Mortice Sets Traditional : Jedo Fluted Door Knob Black Nickel 56mm</t>
  </si>
  <si>
    <t>Compression Fittings : Conex Compression : Conex Female Wall Plate Elbow 403WL 22mm x 3/4"</t>
  </si>
  <si>
    <t>Compression Fittings : Yorkshire Kuterlite Compression : Yorkshire Kuterlite Stop End 651 22mm Pack of 5</t>
  </si>
  <si>
    <t>Compression Fittings : Yorkshire Kuterlite Compression : Yorkshire Kuterlite Straight Coupling 610 22mm Pack of 5</t>
  </si>
  <si>
    <t>End Feed Fittings : Yorkshire Endex End Feed : Yorkshire Endex Stop End N61 15mm Pack of 10</t>
  </si>
  <si>
    <t>End Feed Fittings : Yorkshire Endex End Feed : Yorkshire Endex Tank Coupling N5 22mm x ¾"</t>
  </si>
  <si>
    <t>End Feed Fittings : Yorkshire Endex End Feed : Yorkshire Endex Female Coupling N2 22mm x 1"</t>
  </si>
  <si>
    <t>Plastic Push Fit Fittings : JG Speedfit Fittings : JG Speedfit Reducing Coupler 22mm x 15mm Pack of 5</t>
  </si>
  <si>
    <t>Plastic Push Fit Fittings : JG Speedfit Fittings : JG Speedfit Reducing Tee 22mm x 22mm x 15mm Pack of 5</t>
  </si>
  <si>
    <t>Radiator Valves : Thermostatic Radiator Valves (TRVs) : Pegler Terrier II White &amp; Chrome TRV 15mm Angled</t>
  </si>
  <si>
    <t>Radiator Valves : Thermostatic Radiator Valves (TRVs) : Pegler Terrier II White &amp; Chrome TRV 10mm Angled</t>
  </si>
  <si>
    <t>Solder Ring Fittings : Yorkshire Solder Ring : Yorkshire Solder Ring Tank Coupler YP5 22mm x ¾"</t>
  </si>
  <si>
    <t>Specialist Screws : Electrical Screws : Electrical Screw M3.5 x 75mm Pack Of 50</t>
  </si>
  <si>
    <t>Padlocks : Combination Padlocks : Squire 50mm All Weather Combination Padlock 26mm Shackle</t>
  </si>
  <si>
    <t>Coach Bolts &amp; Coach Screws : A2 Stainless Steel : Threaded Coach Bolts A2 Stainless Steel M10 x 110mm Pack of 10</t>
  </si>
  <si>
    <t>Switches &amp; Sockets : Crabtree Polished Brass LP : Crabtree 13A Sw FCU Polished Brass Flat Plate</t>
  </si>
  <si>
    <t>Roofing Screws : Roofing To Steel Screws : Self Drilling Screws with Washer 5.5 x 55mm Pack of 100</t>
  </si>
  <si>
    <t>Roofing Screws : Roofing To Steel Screws : Self Drilling Screws with Washer 5.5 x 38mm Pack of 100</t>
  </si>
  <si>
    <t>Masonry Screws : Multi Monti : Multi-Monti Flanged Hex Head 7.5 x 60mm Pack of 50</t>
  </si>
  <si>
    <t>Set Screws : BZP Set Screws : BZP Setscrews M12X50 Pack Of 100</t>
  </si>
  <si>
    <t>Chemical Fixings : Threaded Rod : A4 Stainless Steel Threaded Rods M6 x 1000mm Pack of 5</t>
  </si>
  <si>
    <t>Nuts : BZP Nuts : Hex Nuts A4 Stainless Steel M10 Pack of 100</t>
  </si>
  <si>
    <t>Floor Paints : Standard Floor Paints : No Nonsense Floor Paint Grey 2.5Ltr</t>
  </si>
  <si>
    <t>Floor Paints : Standard Floor Paints : No Nonsense Floor Paint Red 2.5Ltr</t>
  </si>
  <si>
    <t>Door Furniture : Pull Handles : Office D Pull Handle Satin Stainless Steel 225mm Pack of 2</t>
  </si>
  <si>
    <t>Door Furniture : Pull Handles : Office D Pull Handle Polished Stainless Steel 225mm Pack of 2</t>
  </si>
  <si>
    <t>Junction &amp; Mounting Boxes : Mounting Boxes : Fast Fix Box Double Pack of 10</t>
  </si>
  <si>
    <t>Weatherproof Range : IP66 Switches &amp; Sockets : Masterplug Nexus 1G 13A Unswitched Socket</t>
  </si>
  <si>
    <t>TV &amp; Satellite : HDMI : HDMI Cable Flat 1.5F</t>
  </si>
  <si>
    <t>Lamps : Mains Voltage GU/GZ10 Halogen : Osram® Par 16 SES 40W Pack of 5</t>
  </si>
  <si>
    <t>Hinges : Specialist Hinges : Continuous Hinge Nickel Plated 1000mm Pk10</t>
  </si>
  <si>
    <t>Euro Cylinder Locks : 6 Pin Euro Cylinders : Yale Euro Cylinder BS 30x30 SN</t>
  </si>
  <si>
    <t>Euro Cylinder Locks : 6 Pin Euro Cylinders : Yale Euro Cylinder BS 30x30 PB</t>
  </si>
  <si>
    <t>Drywall Screws : Collated Drywall Screws : Collated Drywall Black Fine Thread Screws 3.5 x 32mm Pk of 1000</t>
  </si>
  <si>
    <t>Drywall Screws : Collated Drywall Screws : Collated Drywall BZP Fine Thread Screws 3.5 x 32mm Pk of 1000</t>
  </si>
  <si>
    <t>Drywall Screws : Collated Drywall Screws : Collated Drywall Black Coarse Thread Screws 3.5 x 32mm Pk of 1000</t>
  </si>
  <si>
    <t>Set Screws : BZP Set Screws : BZP Setscrews M16X 60 Pack Of 25</t>
  </si>
  <si>
    <t>Hinges : Tee Hinges : Heavy Duty Scotch Tee Hinge 457mm Pack of 2</t>
  </si>
  <si>
    <t>Coach Bolts &amp; Coach Screws : BZP (Bright Zinc Plated) : General Purpose BZP Threaded Coach Bolts M10 x 180mm Pack of 50</t>
  </si>
  <si>
    <t>Drywall Screws : Uncollated Drywall Screws : Easydrive® Self-Drill BZP Drywall 75mm Pk500</t>
  </si>
  <si>
    <t>Set Screws : BZP Set Screws : BZP Setscrews M20X50 Pack Of 25</t>
  </si>
  <si>
    <t>Cable Management : Flexible Conduit : Flexible Conduit &amp; Gland Kit 10m x 25mm</t>
  </si>
  <si>
    <t>Draught &amp; Rain Excluders : Thresholds : Compression Draught Excluder Gold Anodised 914mm</t>
  </si>
  <si>
    <t>Coach Bolts &amp; Coach Screws : Net Coat Green : Exterior Coach Screws Green Corrosion Resistant M10 x 130mm Pack of 10</t>
  </si>
  <si>
    <t>Hinges : Butt Hinges : Fire Door Hinge Grade 13 Electro-Brass Stainless Steel 102 x 76mm Pack of 3</t>
  </si>
  <si>
    <t>Bolts : BZP High Tensile Bolts : BZP HT Hex Bolts M16X110 Pack Of 25</t>
  </si>
  <si>
    <t>Bolts : BZP High Tensile Bolts : BZP HTS Hex Bolts M20 x 60 Pack of 25</t>
  </si>
  <si>
    <t>Indoor : Low Voltage Downlights : Halolite™ Adjustable Hexagonal Polished Chrome 12V Low Voltage Downlight</t>
  </si>
  <si>
    <t>Drywall Screws : Uncollated Drywall Screws : Easydrive® Black Reverse Thread Drywall 38mm Pk1000</t>
  </si>
  <si>
    <t>Staples : Tacwise Staples : Cable Tacker Staples Galvanised White 14 x 7.6mm Pack of 5000</t>
  </si>
  <si>
    <t>Radiator Valves : Thermostatic Radiator Valves (TRVs) : Danfoss RAS-C² White &amp; Chrome TRV &amp; Lockshield 15mm Angled</t>
  </si>
  <si>
    <t>Radiator Valves : Thermostatic Radiator Valves (TRVs) : Danfoss RAS-C² White &amp; Chrome TRV &amp; Lockshield 8/10mm Angled</t>
  </si>
  <si>
    <t>Masonry Screws : Multi Monti : Multi-Monti T-Star Countersunk 6 x 100mm Pack of 50</t>
  </si>
  <si>
    <t>Power Saw Blades : Various Material Saw Blades : Disston Remgrit Recip. Saw Blades 200mm PK5</t>
  </si>
  <si>
    <t>Door Handles : Lever On Backplate Modern : Toulouse Lever Back Plate Lever WC Polished Chrome</t>
  </si>
  <si>
    <t>Door Handles : Lever On Backplate Modern : Serozzetta Cuatro Lever on Backplate Lock Polished Chrome</t>
  </si>
  <si>
    <t>Door Handles : Lever On Backplate Modern : Toulouse Lever Lock Black Nickel</t>
  </si>
  <si>
    <t>Door Handles : Lever On Rose Modern : Serozzetta Trend Lever on Rose Modern Door Handle Black Nickel</t>
  </si>
  <si>
    <t>Price</t>
  </si>
  <si>
    <t>Part Number</t>
  </si>
  <si>
    <t>Date:</t>
  </si>
  <si>
    <t>Discount</t>
  </si>
  <si>
    <t>Discounted Price</t>
  </si>
  <si>
    <t>Items</t>
  </si>
  <si>
    <t>Invoice No.:</t>
  </si>
  <si>
    <t>Door handles : Lever On Backplate Modern : Serozzetta Cuatro Lever on Backplate Lock Satin Chrome</t>
  </si>
  <si>
    <t>Due 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</si>
</sst>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63636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  <border>
      <left/>
      <right style="thin">
        <color rgb="FFB1BBCC"/>
      </right>
      <top style="thin">
        <color rgb="FFB1BBCC"/>
      </top>
      <bottom style="thin">
        <color rgb="FFB1BBCC"/>
      </bottom>
      <diagonal/>
    </border>
    <border>
      <left style="thin">
        <color rgb="FFB1BBCC"/>
      </left>
      <right/>
      <top style="thin">
        <color rgb="FFB1BBCC"/>
      </top>
      <bottom style="thin">
        <color rgb="FFB1BBCC"/>
      </bottom>
      <diagonal/>
    </border>
    <border>
      <left/>
      <right style="thin">
        <color rgb="FFB1BBCC"/>
      </right>
      <top/>
      <bottom style="thin">
        <color rgb="FFB1BBCC"/>
      </bottom>
      <diagonal/>
    </border>
    <border>
      <left style="thin">
        <color rgb="FFB1BBCC"/>
      </left>
      <right style="thin">
        <color rgb="FFB1BBCC"/>
      </right>
      <top/>
      <bottom style="thin">
        <color rgb="FFB1BBCC"/>
      </bottom>
      <diagonal/>
    </border>
    <border>
      <left style="thin">
        <color rgb="FFB1BBCC"/>
      </left>
      <right/>
      <top/>
      <bottom style="thin">
        <color rgb="FFB1BBCC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vertical="top"/>
    </xf>
    <xf numFmtId="0" fontId="3" fillId="2" borderId="1" xfId="0" applyFont="1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5" fillId="0" borderId="0" xfId="0" applyFont="1" applyAlignment="1">
      <alignment vertical="center"/>
    </xf>
    <xf numFmtId="0" fontId="1" fillId="0" borderId="0" xfId="0" applyFont="1" applyAlignment="1">
      <alignment vertical="top" wrapText="1"/>
    </xf>
    <xf numFmtId="164" fontId="0" fillId="0" borderId="0" xfId="0" applyNumberFormat="1" applyAlignment="1">
      <alignment horizontal="center" vertical="top"/>
    </xf>
    <xf numFmtId="49" fontId="0" fillId="0" borderId="0" xfId="0" applyNumberFormat="1" applyAlignment="1">
      <alignment vertical="top" wrapText="1"/>
    </xf>
    <xf numFmtId="49" fontId="1" fillId="0" borderId="0" xfId="0" applyNumberFormat="1" applyFont="1" applyAlignment="1">
      <alignment vertical="top" wrapText="1"/>
    </xf>
    <xf numFmtId="0" fontId="0" fillId="0" borderId="0" xfId="0" applyAlignment="1">
      <alignment horizontal="center" vertical="center"/>
    </xf>
    <xf numFmtId="1" fontId="0" fillId="0" borderId="0" xfId="0" applyNumberFormat="1" applyFont="1" applyAlignment="1">
      <alignment horizontal="center" vertical="center" wrapText="1"/>
    </xf>
    <xf numFmtId="1" fontId="0" fillId="0" borderId="0" xfId="0" applyNumberFormat="1" applyFont="1" applyAlignment="1">
      <alignment horizontal="center" vertical="center"/>
    </xf>
    <xf numFmtId="164" fontId="0" fillId="0" borderId="0" xfId="0" applyNumberFormat="1" applyFont="1" applyAlignment="1">
      <alignment horizontal="center" vertical="center" wrapText="1"/>
    </xf>
    <xf numFmtId="9" fontId="0" fillId="0" borderId="0" xfId="1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ont="1" applyAlignment="1">
      <alignment horizontal="center" vertical="center" wrapText="1"/>
    </xf>
    <xf numFmtId="0" fontId="4" fillId="0" borderId="0" xfId="0" applyNumberFormat="1" applyFont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top" wrapText="1"/>
    </xf>
    <xf numFmtId="164" fontId="3" fillId="2" borderId="3" xfId="0" applyNumberFormat="1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 vertical="top" wrapText="1"/>
    </xf>
    <xf numFmtId="0" fontId="2" fillId="3" borderId="5" xfId="0" applyFont="1" applyFill="1" applyBorder="1" applyAlignment="1">
      <alignment vertical="top" wrapText="1"/>
    </xf>
    <xf numFmtId="164" fontId="2" fillId="3" borderId="6" xfId="0" applyNumberFormat="1" applyFont="1" applyFill="1" applyBorder="1" applyAlignment="1">
      <alignment horizontal="center" vertical="top" wrapText="1"/>
    </xf>
    <xf numFmtId="0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 vertical="top"/>
    </xf>
    <xf numFmtId="0" fontId="0" fillId="0" borderId="0" xfId="0" applyAlignment="1">
      <alignment vertical="center"/>
    </xf>
    <xf numFmtId="0" fontId="1" fillId="0" borderId="0" xfId="0" applyFont="1" applyAlignment="1">
      <alignment horizontal="right" vertical="center"/>
    </xf>
    <xf numFmtId="1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14" fontId="0" fillId="0" borderId="0" xfId="0" applyNumberFormat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2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ill>
        <patternFill patternType="solid">
          <fgColor theme="4" tint="0.59999389629810485"/>
          <bgColor theme="4" tint="0.59999389629810485"/>
        </patternFill>
      </fill>
    </dxf>
    <dxf>
      <fill>
        <patternFill patternType="solid">
          <fgColor theme="4" tint="0.59999389629810485"/>
          <bgColor theme="4" tint="0.59999389629810485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color theme="0"/>
      </font>
      <fill>
        <patternFill patternType="solid">
          <fgColor theme="4"/>
          <bgColor theme="4" tint="-0.499984740745262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4" tint="0.79998168889431442"/>
          <bgColor theme="4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fill>
        <patternFill patternType="solid">
          <fgColor indexed="64"/>
          <bgColor rgb="FFFFFFFF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B1BBCC"/>
        </left>
        <right/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top" textRotation="0" wrapText="1" indent="0" justifyLastLine="0" shrinkToFit="0" readingOrder="0"/>
      <border diagonalUp="0" diagonalDown="0">
        <left/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border outline="0">
        <top style="thin">
          <color rgb="FFB1BBCC"/>
        </top>
      </border>
    </dxf>
    <dxf>
      <border outline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</border>
    </dxf>
    <dxf>
      <border outline="0">
        <bottom style="thin">
          <color rgb="FFB1BB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"/>
      <alignment horizontal="center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</dxf>
  </dxfs>
  <tableStyles count="1" defaultTableStyle="TableStyleMedium2" defaultPivotStyle="PivotStyleLight16">
    <tableStyle name="TA TableStyleMedium9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size="2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OrderDetailsTable" displayName="OrderDetailsTable" ref="B6:H13" totalsRowCount="1" headerRowDxfId="27">
  <autoFilter ref="B6:H1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Quantity" totalsRowFunction="sum" dataDxfId="26" totalsRowDxfId="6"/>
    <tableColumn id="2" name="Part No." totalsRowLabel="Items" dataDxfId="25" totalsRowDxfId="5"/>
    <tableColumn id="3" name="Description" dataDxfId="24" totalsRowDxfId="4">
      <calculatedColumnFormula>_xlfn.IFNA(VLOOKUP(OrderDetailsTable[Part No.],PartsCatalog,2,FALSE),IF(TRIM(OrderDetailsTable[Part No.])="","","Not Found"))</calculatedColumnFormula>
    </tableColumn>
    <tableColumn id="4" name="Unit price" dataDxfId="23" totalsRowDxfId="3">
      <calculatedColumnFormula>_xlfn.IFNA(VLOOKUP(OrderDetailsTable[Part No.],PartsCatalog,3,FALSE),"")</calculatedColumnFormula>
    </tableColumn>
    <tableColumn id="5" name="Discount" dataDxfId="22" totalsRowDxfId="2" dataCellStyle="Percent">
      <calculatedColumnFormula>IF(TRIM(OrderDetailsTable[Unit price])="","",IF(IFERROR(SEARCH("door handle",OrderDetailsTable[Description]),0)&gt;0,0.1,0))</calculatedColumnFormula>
    </tableColumn>
    <tableColumn id="6" name="Discounted Price" dataDxfId="21" totalsRowDxfId="1">
      <calculatedColumnFormula>IF(TRIM(OrderDetailsTable[Unit price])="","",OrderDetailsTable[Unit price]-OrderDetailsTable[Unit price]*OrderDetailsTable[Discount])</calculatedColumnFormula>
    </tableColumn>
    <tableColumn id="7" name="Total price" totalsRowFunction="sum" dataDxfId="20" totalsRowDxfId="0">
      <calculatedColumnFormula>IF(TRIM(OrderDetailsTable[Unit price])="","",OrderDetailsTable[Quantity]*OrderDetailsTable[Discounted Price])</calculatedColumnFormula>
    </tableColumn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4" name="CatalogueTable" displayName="CatalogueTable" ref="A1:C85" totalsRowShown="0" headerRowBorderDxfId="19" tableBorderDxfId="18" totalsRowBorderDxfId="17">
  <autoFilter ref="A1:C85"/>
  <tableColumns count="3">
    <tableColumn id="1" name="Part Number" dataDxfId="16"/>
    <tableColumn id="2" name="Description" dataDxfId="15"/>
    <tableColumn id="3" name="Price" dataDxfId="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workbookViewId="0"/>
  </sheetViews>
  <sheetFormatPr defaultRowHeight="15" x14ac:dyDescent="0.25"/>
  <cols>
    <col min="1" max="1" width="2.42578125" style="1" customWidth="1"/>
    <col min="2" max="2" width="10.85546875" style="4" customWidth="1"/>
    <col min="3" max="3" width="10.28515625" style="4" customWidth="1"/>
    <col min="4" max="4" width="58" style="11" customWidth="1"/>
    <col min="5" max="5" width="11.85546875" style="6" customWidth="1"/>
    <col min="6" max="6" width="10.85546875" style="6" customWidth="1"/>
    <col min="7" max="7" width="18" style="6" customWidth="1"/>
    <col min="8" max="8" width="16.7109375" style="6" customWidth="1"/>
    <col min="9" max="16384" width="9.140625" style="1"/>
  </cols>
  <sheetData>
    <row r="1" spans="1:9" ht="22.5" customHeight="1" x14ac:dyDescent="0.25"/>
    <row r="2" spans="1:9" s="29" customFormat="1" ht="18.75" customHeight="1" x14ac:dyDescent="0.25">
      <c r="B2" s="30" t="s">
        <v>88</v>
      </c>
      <c r="C2" s="31">
        <f ca="1">TODAY()</f>
        <v>42639</v>
      </c>
      <c r="D2" s="32"/>
      <c r="E2" s="33"/>
      <c r="F2" s="33"/>
      <c r="G2" s="34" t="s">
        <v>92</v>
      </c>
      <c r="H2" s="33"/>
    </row>
    <row r="3" spans="1:9" s="29" customFormat="1" ht="21" customHeight="1" x14ac:dyDescent="0.25">
      <c r="B3" s="13"/>
      <c r="C3" s="13"/>
      <c r="D3" s="32"/>
      <c r="E3" s="33"/>
      <c r="F3" s="33"/>
      <c r="G3" s="34" t="s">
        <v>94</v>
      </c>
      <c r="H3" s="35">
        <f ca="1">IF(OrderDetailsTable[[#Totals],[Total price]]&lt;100,C2+15,C2+30)</f>
        <v>42669</v>
      </c>
    </row>
    <row r="4" spans="1:9" ht="24" customHeight="1" x14ac:dyDescent="0.25">
      <c r="B4" s="28" t="s">
        <v>3</v>
      </c>
      <c r="C4" s="28"/>
      <c r="D4" s="28"/>
      <c r="E4" s="28"/>
      <c r="F4" s="28"/>
      <c r="G4" s="28"/>
      <c r="H4" s="28"/>
      <c r="I4" s="5"/>
    </row>
    <row r="6" spans="1:9" s="9" customFormat="1" ht="30.75" customHeight="1" x14ac:dyDescent="0.25">
      <c r="B6" s="7" t="s">
        <v>0</v>
      </c>
      <c r="C6" s="7" t="s">
        <v>1</v>
      </c>
      <c r="D6" s="12" t="s">
        <v>2</v>
      </c>
      <c r="E6" s="7" t="s">
        <v>4</v>
      </c>
      <c r="F6" s="7" t="s">
        <v>89</v>
      </c>
      <c r="G6" s="7" t="s">
        <v>90</v>
      </c>
      <c r="H6" s="7" t="s">
        <v>5</v>
      </c>
    </row>
    <row r="7" spans="1:9" s="9" customFormat="1" ht="30.75" customHeight="1" x14ac:dyDescent="0.25">
      <c r="B7" s="14">
        <v>3</v>
      </c>
      <c r="C7" s="13">
        <v>19232</v>
      </c>
      <c r="D7" s="19" t="str">
        <f>_xlfn.IFNA(VLOOKUP(OrderDetailsTable[Part No.],PartsCatalog,2,FALSE),IF(TRIM(OrderDetailsTable[Part No.])="","","Not Found"))</f>
        <v>Door Handles : Lever On Backplate Modern : Urfic Latch Door Handle Victoria Polished Brass</v>
      </c>
      <c r="E7" s="16">
        <f>_xlfn.IFNA(VLOOKUP(OrderDetailsTable[Part No.],PartsCatalog,3,FALSE),"")</f>
        <v>18.941999999999997</v>
      </c>
      <c r="F7" s="17">
        <f>IF(TRIM(OrderDetailsTable[Unit price])="","",IF(IFERROR(SEARCH("door handle",OrderDetailsTable[Description]),0)&gt;0,0.1,0))</f>
        <v>0.1</v>
      </c>
      <c r="G7" s="16">
        <f>IF(TRIM(OrderDetailsTable[Unit price])="","",OrderDetailsTable[Unit price]-OrderDetailsTable[Unit price]*OrderDetailsTable[Discount])</f>
        <v>17.047799999999995</v>
      </c>
      <c r="H7" s="18">
        <f>IF(TRIM(OrderDetailsTable[Unit price])="","",OrderDetailsTable[Quantity]*OrderDetailsTable[Discounted Price])</f>
        <v>51.143399999999986</v>
      </c>
    </row>
    <row r="8" spans="1:9" ht="29.25" customHeight="1" x14ac:dyDescent="0.25">
      <c r="B8" s="15">
        <v>2</v>
      </c>
      <c r="C8" s="13">
        <v>48133</v>
      </c>
      <c r="D8" s="19" t="str">
        <f>_xlfn.IFNA(VLOOKUP(OrderDetailsTable[Part No.],PartsCatalog,2,FALSE),IF(TRIM(OrderDetailsTable[Part No.])="","","Not Found"))</f>
        <v>Plastic Push Fit Fittings : JG Speedfit Fittings : JG Speedfit Reducing Coupler 22mm x 15mm Pack of 5</v>
      </c>
      <c r="E8" s="16">
        <f>_xlfn.IFNA(VLOOKUP(OrderDetailsTable[Part No.],PartsCatalog,3,FALSE),"")</f>
        <v>18.661999999999999</v>
      </c>
      <c r="F8" s="17">
        <f>IF(TRIM(OrderDetailsTable[Unit price])="","",IF(IFERROR(SEARCH("door handle",OrderDetailsTable[Description]),0)&gt;0,0.1,0))</f>
        <v>0</v>
      </c>
      <c r="G8" s="16">
        <f>IF(TRIM(OrderDetailsTable[Unit price])="","",OrderDetailsTable[Unit price]-OrderDetailsTable[Unit price]*OrderDetailsTable[Discount])</f>
        <v>18.661999999999999</v>
      </c>
      <c r="H8" s="18">
        <f>IF(TRIM(OrderDetailsTable[Unit price])="","",OrderDetailsTable[Quantity]*OrderDetailsTable[Discounted Price])</f>
        <v>37.323999999999998</v>
      </c>
    </row>
    <row r="9" spans="1:9" ht="29.25" customHeight="1" x14ac:dyDescent="0.25">
      <c r="A9"/>
      <c r="B9" s="15"/>
      <c r="C9" s="13">
        <v>12345</v>
      </c>
      <c r="D9" s="19" t="str">
        <f>_xlfn.IFNA(VLOOKUP(OrderDetailsTable[Part No.],PartsCatalog,2,FALSE),IF(TRIM(OrderDetailsTable[Part No.])="","","Not Found"))</f>
        <v>Not Found</v>
      </c>
      <c r="E9" s="16" t="str">
        <f>_xlfn.IFNA(VLOOKUP(OrderDetailsTable[Part No.],PartsCatalog,3,FALSE),"")</f>
        <v/>
      </c>
      <c r="F9" s="17" t="str">
        <f>IF(TRIM(OrderDetailsTable[Unit price])="","",IF(IFERROR(SEARCH("door handle",OrderDetailsTable[Description]),0)&gt;0,0.1,0))</f>
        <v/>
      </c>
      <c r="G9" s="16" t="str">
        <f>IF(TRIM(OrderDetailsTable[Unit price])="","",OrderDetailsTable[Unit price]-OrderDetailsTable[Unit price]*OrderDetailsTable[Discount])</f>
        <v/>
      </c>
      <c r="H9" s="18" t="str">
        <f>IF(TRIM(OrderDetailsTable[Unit price])="","",OrderDetailsTable[Quantity]*OrderDetailsTable[Discounted Price])</f>
        <v/>
      </c>
    </row>
    <row r="10" spans="1:9" ht="29.25" customHeight="1" x14ac:dyDescent="0.25">
      <c r="A10"/>
      <c r="B10" s="15">
        <v>4</v>
      </c>
      <c r="C10" s="13">
        <v>75664</v>
      </c>
      <c r="D10" s="19" t="str">
        <f>_xlfn.IFNA(VLOOKUP(OrderDetailsTable[Part No.],PartsCatalog,2,FALSE),IF(TRIM(OrderDetailsTable[Part No.])="","","Not Found"))</f>
        <v>Compression Fittings : Conex Compression : Conex Female Wall Plate Elbow 403WL 22mm x 3/4"</v>
      </c>
      <c r="E10" s="16">
        <f>_xlfn.IFNA(VLOOKUP(OrderDetailsTable[Part No.],PartsCatalog,3,FALSE),"")</f>
        <v>19.123999999999999</v>
      </c>
      <c r="F10" s="17">
        <f>IF(TRIM(OrderDetailsTable[Unit price])="","",IF(IFERROR(SEARCH("door handle",OrderDetailsTable[Description]),0)&gt;0,0.1,0))</f>
        <v>0</v>
      </c>
      <c r="G10" s="16">
        <f>IF(TRIM(OrderDetailsTable[Unit price])="","",OrderDetailsTable[Unit price]-OrderDetailsTable[Unit price]*OrderDetailsTable[Discount])</f>
        <v>19.123999999999999</v>
      </c>
      <c r="H10" s="18">
        <f>IF(TRIM(OrderDetailsTable[Unit price])="","",OrderDetailsTable[Quantity]*OrderDetailsTable[Discounted Price])</f>
        <v>76.495999999999995</v>
      </c>
    </row>
    <row r="11" spans="1:9" ht="29.25" customHeight="1" x14ac:dyDescent="0.25">
      <c r="A11"/>
      <c r="B11" s="13">
        <v>2</v>
      </c>
      <c r="C11" s="13">
        <v>51609</v>
      </c>
      <c r="D11" s="19" t="str">
        <f>_xlfn.IFNA(VLOOKUP(OrderDetailsTable[Part No.],PartsCatalog,2,FALSE),IF(TRIM(OrderDetailsTable[Part No.])="","","Not Found"))</f>
        <v>Door handles : Lever On Backplate Modern : Serozzetta Cuatro Lever on Backplate Lock Satin Chrome</v>
      </c>
      <c r="E11" s="16">
        <f>_xlfn.IFNA(VLOOKUP(OrderDetailsTable[Part No.],PartsCatalog,3,FALSE),"")</f>
        <v>19.236000000000001</v>
      </c>
      <c r="F11" s="17">
        <f>IF(TRIM(OrderDetailsTable[Unit price])="","",IF(IFERROR(SEARCH("door handle",OrderDetailsTable[Description]),0)&gt;0,0.1,0))</f>
        <v>0.1</v>
      </c>
      <c r="G11" s="16">
        <f>IF(TRIM(OrderDetailsTable[Unit price])="","",OrderDetailsTable[Unit price]-OrderDetailsTable[Unit price]*OrderDetailsTable[Discount])</f>
        <v>17.3124</v>
      </c>
      <c r="H11" s="18">
        <f>IF(TRIM(OrderDetailsTable[Unit price])="","",OrderDetailsTable[Quantity]*OrderDetailsTable[Discounted Price])</f>
        <v>34.6248</v>
      </c>
    </row>
    <row r="12" spans="1:9" s="8" customFormat="1" ht="29.25" customHeight="1" x14ac:dyDescent="0.25">
      <c r="B12" s="15"/>
      <c r="C12" s="13"/>
      <c r="D12" s="27" t="str">
        <f>_xlfn.IFNA(VLOOKUP(OrderDetailsTable[Part No.],PartsCatalog,2,FALSE),IF(TRIM(OrderDetailsTable[Part No.])="","","Not Found"))</f>
        <v/>
      </c>
      <c r="E12" s="16" t="str">
        <f>_xlfn.IFNA(VLOOKUP(OrderDetailsTable[Part No.],PartsCatalog,3,FALSE),"")</f>
        <v/>
      </c>
      <c r="F12" s="17" t="str">
        <f>IF(TRIM(OrderDetailsTable[Unit price])="","",IF(IFERROR(SEARCH("door handle",OrderDetailsTable[Description]),0)&gt;0,0.1,0))</f>
        <v/>
      </c>
      <c r="G12" s="16" t="str">
        <f>IF(TRIM(OrderDetailsTable[Unit price])="","",OrderDetailsTable[Unit price]-OrderDetailsTable[Unit price]*OrderDetailsTable[Discount])</f>
        <v/>
      </c>
      <c r="H12" s="18" t="str">
        <f>IF(TRIM(OrderDetailsTable[Unit price])="","",OrderDetailsTable[Quantity]*OrderDetailsTable[Discounted Price])</f>
        <v/>
      </c>
    </row>
    <row r="13" spans="1:9" ht="28.5" customHeight="1" x14ac:dyDescent="0.25">
      <c r="B13" s="15">
        <f>SUBTOTAL(109,OrderDetailsTable[Quantity])</f>
        <v>11</v>
      </c>
      <c r="C13" s="13" t="s">
        <v>91</v>
      </c>
      <c r="D13" s="19"/>
      <c r="E13" s="20"/>
      <c r="F13" s="21"/>
      <c r="G13" s="20"/>
      <c r="H13" s="18">
        <f>SUBTOTAL(109,OrderDetailsTable[Total price])</f>
        <v>199.58819999999997</v>
      </c>
    </row>
    <row r="14" spans="1:9" ht="30.75" customHeight="1" x14ac:dyDescent="0.25"/>
    <row r="15" spans="1:9" ht="25.5" customHeight="1" x14ac:dyDescent="0.25">
      <c r="D15" s="1" t="str">
        <f>"There are " &amp; OrderDetailsTable[[#Totals],[Quantity]] &amp; " items in this order.  Thank you for your business!"</f>
        <v>There are 11 items in this order.  Thank you for your business!</v>
      </c>
    </row>
    <row r="16" spans="1:9" ht="27" customHeight="1" x14ac:dyDescent="0.25"/>
  </sheetData>
  <mergeCells count="1">
    <mergeCell ref="B4:H4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6"/>
  <sheetViews>
    <sheetView workbookViewId="0">
      <selection activeCell="B2" sqref="B2"/>
    </sheetView>
  </sheetViews>
  <sheetFormatPr defaultRowHeight="15" x14ac:dyDescent="0.25"/>
  <cols>
    <col min="1" max="1" width="13.42578125" style="4" customWidth="1"/>
    <col min="2" max="2" width="68.7109375" style="1" customWidth="1"/>
    <col min="3" max="3" width="9.140625" style="10"/>
    <col min="4" max="16384" width="9.140625" style="1"/>
  </cols>
  <sheetData>
    <row r="1" spans="1:3" x14ac:dyDescent="0.25">
      <c r="A1" s="24" t="s">
        <v>87</v>
      </c>
      <c r="B1" s="25" t="s">
        <v>2</v>
      </c>
      <c r="C1" s="26" t="s">
        <v>86</v>
      </c>
    </row>
    <row r="2" spans="1:3" x14ac:dyDescent="0.25">
      <c r="A2" s="22">
        <v>17122</v>
      </c>
      <c r="B2" s="2" t="s">
        <v>6</v>
      </c>
      <c r="C2" s="23">
        <v>17.849999999999998</v>
      </c>
    </row>
    <row r="3" spans="1:3" ht="30" x14ac:dyDescent="0.25">
      <c r="A3" s="22">
        <v>54393</v>
      </c>
      <c r="B3" s="2" t="s">
        <v>7</v>
      </c>
      <c r="C3" s="23">
        <v>17.849999999999998</v>
      </c>
    </row>
    <row r="4" spans="1:3" x14ac:dyDescent="0.25">
      <c r="A4" s="22">
        <v>80490</v>
      </c>
      <c r="B4" s="2" t="s">
        <v>8</v>
      </c>
      <c r="C4" s="23">
        <v>17.849999999999998</v>
      </c>
    </row>
    <row r="5" spans="1:3" ht="30" x14ac:dyDescent="0.25">
      <c r="A5" s="22">
        <v>84566</v>
      </c>
      <c r="B5" s="2" t="s">
        <v>9</v>
      </c>
      <c r="C5" s="23">
        <v>18.885999999999999</v>
      </c>
    </row>
    <row r="6" spans="1:3" x14ac:dyDescent="0.25">
      <c r="A6" s="22">
        <v>85497</v>
      </c>
      <c r="B6" s="2" t="s">
        <v>10</v>
      </c>
      <c r="C6" s="23">
        <v>18.941999999999997</v>
      </c>
    </row>
    <row r="7" spans="1:3" ht="30" x14ac:dyDescent="0.25">
      <c r="A7" s="22">
        <v>19232</v>
      </c>
      <c r="B7" s="2" t="s">
        <v>11</v>
      </c>
      <c r="C7" s="23">
        <v>18.941999999999997</v>
      </c>
    </row>
    <row r="8" spans="1:3" ht="30" x14ac:dyDescent="0.25">
      <c r="A8" s="22">
        <v>25189</v>
      </c>
      <c r="B8" s="2" t="s">
        <v>12</v>
      </c>
      <c r="C8" s="23">
        <v>19.04</v>
      </c>
    </row>
    <row r="9" spans="1:3" ht="30" x14ac:dyDescent="0.25">
      <c r="A9" s="22">
        <v>25571</v>
      </c>
      <c r="B9" s="2" t="s">
        <v>13</v>
      </c>
      <c r="C9" s="23">
        <v>19.04</v>
      </c>
    </row>
    <row r="10" spans="1:3" ht="30" x14ac:dyDescent="0.25">
      <c r="A10" s="22">
        <v>27495</v>
      </c>
      <c r="B10" s="2" t="s">
        <v>14</v>
      </c>
      <c r="C10" s="23">
        <v>19.04</v>
      </c>
    </row>
    <row r="11" spans="1:3" ht="30" x14ac:dyDescent="0.25">
      <c r="A11" s="22">
        <v>32759</v>
      </c>
      <c r="B11" s="2" t="s">
        <v>15</v>
      </c>
      <c r="C11" s="23">
        <v>18.955999999999996</v>
      </c>
    </row>
    <row r="12" spans="1:3" ht="30" x14ac:dyDescent="0.25">
      <c r="A12" s="22">
        <v>34288</v>
      </c>
      <c r="B12" s="2" t="s">
        <v>16</v>
      </c>
      <c r="C12" s="23">
        <v>19.012</v>
      </c>
    </row>
    <row r="13" spans="1:3" ht="30" x14ac:dyDescent="0.25">
      <c r="A13" s="22">
        <v>50251</v>
      </c>
      <c r="B13" s="2" t="s">
        <v>17</v>
      </c>
      <c r="C13" s="23">
        <v>19.11</v>
      </c>
    </row>
    <row r="14" spans="1:3" ht="30" x14ac:dyDescent="0.25">
      <c r="A14" s="22">
        <v>56277</v>
      </c>
      <c r="B14" s="2" t="s">
        <v>18</v>
      </c>
      <c r="C14" s="23">
        <v>19.11</v>
      </c>
    </row>
    <row r="15" spans="1:3" ht="30" x14ac:dyDescent="0.25">
      <c r="A15" s="22">
        <v>61272</v>
      </c>
      <c r="B15" s="2" t="s">
        <v>19</v>
      </c>
      <c r="C15" s="23">
        <v>19.012</v>
      </c>
    </row>
    <row r="16" spans="1:3" ht="30" x14ac:dyDescent="0.25">
      <c r="A16" s="22">
        <v>63484</v>
      </c>
      <c r="B16" s="2" t="s">
        <v>20</v>
      </c>
      <c r="C16" s="23">
        <v>18.032</v>
      </c>
    </row>
    <row r="17" spans="1:3" ht="30" x14ac:dyDescent="0.25">
      <c r="A17" s="22">
        <v>74314</v>
      </c>
      <c r="B17" s="2" t="s">
        <v>21</v>
      </c>
      <c r="C17" s="23">
        <v>19.082000000000001</v>
      </c>
    </row>
    <row r="18" spans="1:3" ht="30" x14ac:dyDescent="0.25">
      <c r="A18" s="22">
        <v>76765</v>
      </c>
      <c r="B18" s="2" t="s">
        <v>22</v>
      </c>
      <c r="C18" s="23">
        <v>19.067999999999998</v>
      </c>
    </row>
    <row r="19" spans="1:3" ht="30" x14ac:dyDescent="0.25">
      <c r="A19" s="22">
        <v>78992</v>
      </c>
      <c r="B19" s="2" t="s">
        <v>23</v>
      </c>
      <c r="C19" s="23">
        <v>19.082000000000001</v>
      </c>
    </row>
    <row r="20" spans="1:3" ht="30" x14ac:dyDescent="0.25">
      <c r="A20" s="22">
        <v>97094</v>
      </c>
      <c r="B20" s="2" t="s">
        <v>24</v>
      </c>
      <c r="C20" s="23">
        <v>19.165999999999997</v>
      </c>
    </row>
    <row r="21" spans="1:3" ht="30" x14ac:dyDescent="0.25">
      <c r="A21" s="22">
        <v>43475</v>
      </c>
      <c r="B21" s="2" t="s">
        <v>25</v>
      </c>
      <c r="C21" s="23">
        <v>19.165999999999997</v>
      </c>
    </row>
    <row r="22" spans="1:3" ht="30" x14ac:dyDescent="0.25">
      <c r="A22" s="22">
        <v>58598</v>
      </c>
      <c r="B22" s="2" t="s">
        <v>26</v>
      </c>
      <c r="C22" s="23">
        <v>18.017999999999997</v>
      </c>
    </row>
    <row r="23" spans="1:3" ht="30" x14ac:dyDescent="0.25">
      <c r="A23" s="22">
        <v>71564</v>
      </c>
      <c r="B23" s="2" t="s">
        <v>27</v>
      </c>
      <c r="C23" s="23">
        <v>19.11</v>
      </c>
    </row>
    <row r="24" spans="1:3" ht="30" x14ac:dyDescent="0.25">
      <c r="A24" s="22">
        <v>96041</v>
      </c>
      <c r="B24" s="2" t="s">
        <v>28</v>
      </c>
      <c r="C24" s="23">
        <v>19.123999999999999</v>
      </c>
    </row>
    <row r="25" spans="1:3" ht="30" x14ac:dyDescent="0.25">
      <c r="A25" s="22">
        <v>75664</v>
      </c>
      <c r="B25" s="2" t="s">
        <v>29</v>
      </c>
      <c r="C25" s="23">
        <v>19.123999999999999</v>
      </c>
    </row>
    <row r="26" spans="1:3" ht="30" x14ac:dyDescent="0.25">
      <c r="A26" s="22">
        <v>50419</v>
      </c>
      <c r="B26" s="2" t="s">
        <v>30</v>
      </c>
      <c r="C26" s="23">
        <v>19.123999999999999</v>
      </c>
    </row>
    <row r="27" spans="1:3" ht="30" x14ac:dyDescent="0.25">
      <c r="A27" s="22">
        <v>64315</v>
      </c>
      <c r="B27" s="2" t="s">
        <v>31</v>
      </c>
      <c r="C27" s="23">
        <v>19.123999999999999</v>
      </c>
    </row>
    <row r="28" spans="1:3" ht="30" x14ac:dyDescent="0.25">
      <c r="A28" s="22">
        <v>43411</v>
      </c>
      <c r="B28" s="2" t="s">
        <v>32</v>
      </c>
      <c r="C28" s="23">
        <v>19.165999999999997</v>
      </c>
    </row>
    <row r="29" spans="1:3" ht="30" x14ac:dyDescent="0.25">
      <c r="A29" s="22">
        <v>83731</v>
      </c>
      <c r="B29" s="2" t="s">
        <v>33</v>
      </c>
      <c r="C29" s="23">
        <v>18.661999999999999</v>
      </c>
    </row>
    <row r="30" spans="1:3" ht="30" x14ac:dyDescent="0.25">
      <c r="A30" s="22">
        <v>91831</v>
      </c>
      <c r="B30" s="2" t="s">
        <v>34</v>
      </c>
      <c r="C30" s="23">
        <v>18.661999999999999</v>
      </c>
    </row>
    <row r="31" spans="1:3" ht="30" x14ac:dyDescent="0.25">
      <c r="A31" s="22">
        <v>48133</v>
      </c>
      <c r="B31" s="2" t="s">
        <v>35</v>
      </c>
      <c r="C31" s="23">
        <v>18.661999999999999</v>
      </c>
    </row>
    <row r="32" spans="1:3" ht="30" x14ac:dyDescent="0.25">
      <c r="A32" s="22">
        <v>98322</v>
      </c>
      <c r="B32" s="2" t="s">
        <v>36</v>
      </c>
      <c r="C32" s="23">
        <v>18.661999999999999</v>
      </c>
    </row>
    <row r="33" spans="1:3" ht="30" x14ac:dyDescent="0.25">
      <c r="A33" s="22">
        <v>23130</v>
      </c>
      <c r="B33" s="2" t="s">
        <v>37</v>
      </c>
      <c r="C33" s="23">
        <v>18.661999999999999</v>
      </c>
    </row>
    <row r="34" spans="1:3" ht="30" x14ac:dyDescent="0.25">
      <c r="A34" s="22">
        <v>82616</v>
      </c>
      <c r="B34" s="2" t="s">
        <v>37</v>
      </c>
      <c r="C34" s="23">
        <v>18.661999999999999</v>
      </c>
    </row>
    <row r="35" spans="1:3" ht="30" x14ac:dyDescent="0.25">
      <c r="A35" s="22">
        <v>88878</v>
      </c>
      <c r="B35" s="2" t="s">
        <v>38</v>
      </c>
      <c r="C35" s="23">
        <v>18.661999999999999</v>
      </c>
    </row>
    <row r="36" spans="1:3" ht="30" x14ac:dyDescent="0.25">
      <c r="A36" s="22">
        <v>98703</v>
      </c>
      <c r="B36" s="2" t="s">
        <v>38</v>
      </c>
      <c r="C36" s="23">
        <v>18.661999999999999</v>
      </c>
    </row>
    <row r="37" spans="1:3" ht="30" x14ac:dyDescent="0.25">
      <c r="A37" s="22">
        <v>59617</v>
      </c>
      <c r="B37" s="2" t="s">
        <v>39</v>
      </c>
      <c r="C37" s="23">
        <v>18.661999999999999</v>
      </c>
    </row>
    <row r="38" spans="1:3" ht="30" x14ac:dyDescent="0.25">
      <c r="A38" s="22">
        <v>64633</v>
      </c>
      <c r="B38" s="2" t="s">
        <v>40</v>
      </c>
      <c r="C38" s="23">
        <v>18.661999999999999</v>
      </c>
    </row>
    <row r="39" spans="1:3" ht="30" x14ac:dyDescent="0.25">
      <c r="A39" s="22">
        <v>76596</v>
      </c>
      <c r="B39" s="2" t="s">
        <v>41</v>
      </c>
      <c r="C39" s="23">
        <v>20.986000000000001</v>
      </c>
    </row>
    <row r="40" spans="1:3" ht="30" x14ac:dyDescent="0.25">
      <c r="A40" s="22">
        <v>16801</v>
      </c>
      <c r="B40" s="2" t="s">
        <v>42</v>
      </c>
      <c r="C40" s="23">
        <v>18.703999999999997</v>
      </c>
    </row>
    <row r="41" spans="1:3" ht="30" x14ac:dyDescent="0.25">
      <c r="A41" s="22">
        <v>39129</v>
      </c>
      <c r="B41" s="2" t="s">
        <v>43</v>
      </c>
      <c r="C41" s="23">
        <v>17.751999999999999</v>
      </c>
    </row>
    <row r="42" spans="1:3" ht="30" x14ac:dyDescent="0.25">
      <c r="A42" s="22">
        <v>34328</v>
      </c>
      <c r="B42" s="2" t="s">
        <v>44</v>
      </c>
      <c r="C42" s="23">
        <v>18.731999999999999</v>
      </c>
    </row>
    <row r="43" spans="1:3" ht="30" x14ac:dyDescent="0.25">
      <c r="A43" s="22">
        <v>64530</v>
      </c>
      <c r="B43" s="2" t="s">
        <v>45</v>
      </c>
      <c r="C43" s="23">
        <v>18.731999999999999</v>
      </c>
    </row>
    <row r="44" spans="1:3" ht="30" x14ac:dyDescent="0.25">
      <c r="A44" s="22">
        <v>26905</v>
      </c>
      <c r="B44" s="2" t="s">
        <v>46</v>
      </c>
      <c r="C44" s="23">
        <v>18.731999999999999</v>
      </c>
    </row>
    <row r="45" spans="1:3" x14ac:dyDescent="0.25">
      <c r="A45" s="22">
        <v>50860</v>
      </c>
      <c r="B45" s="2" t="s">
        <v>47</v>
      </c>
      <c r="C45" s="23">
        <v>18.858000000000001</v>
      </c>
    </row>
    <row r="46" spans="1:3" ht="30" x14ac:dyDescent="0.25">
      <c r="A46" s="22">
        <v>24402</v>
      </c>
      <c r="B46" s="2" t="s">
        <v>48</v>
      </c>
      <c r="C46" s="23">
        <v>18.773999999999997</v>
      </c>
    </row>
    <row r="47" spans="1:3" x14ac:dyDescent="0.25">
      <c r="A47" s="22">
        <v>48108</v>
      </c>
      <c r="B47" s="2" t="s">
        <v>49</v>
      </c>
      <c r="C47" s="23">
        <v>18.773999999999997</v>
      </c>
    </row>
    <row r="48" spans="1:3" x14ac:dyDescent="0.25">
      <c r="A48" s="22">
        <v>74591</v>
      </c>
      <c r="B48" s="2" t="s">
        <v>50</v>
      </c>
      <c r="C48" s="23">
        <v>17.486000000000001</v>
      </c>
    </row>
    <row r="49" spans="1:3" x14ac:dyDescent="0.25">
      <c r="A49" s="22">
        <v>92857</v>
      </c>
      <c r="B49" s="2" t="s">
        <v>51</v>
      </c>
      <c r="C49" s="23">
        <v>17.486000000000001</v>
      </c>
    </row>
    <row r="50" spans="1:3" ht="30" x14ac:dyDescent="0.25">
      <c r="A50" s="22">
        <v>47466</v>
      </c>
      <c r="B50" s="2" t="s">
        <v>52</v>
      </c>
      <c r="C50" s="23">
        <v>18.731999999999999</v>
      </c>
    </row>
    <row r="51" spans="1:3" ht="30" x14ac:dyDescent="0.25">
      <c r="A51" s="22">
        <v>54431</v>
      </c>
      <c r="B51" s="2" t="s">
        <v>53</v>
      </c>
      <c r="C51" s="23">
        <v>18.731999999999999</v>
      </c>
    </row>
    <row r="52" spans="1:3" x14ac:dyDescent="0.25">
      <c r="A52" s="22">
        <v>38849</v>
      </c>
      <c r="B52" s="3"/>
      <c r="C52" s="23">
        <v>18.802</v>
      </c>
    </row>
    <row r="53" spans="1:3" ht="30" x14ac:dyDescent="0.25">
      <c r="A53" s="22">
        <v>63911</v>
      </c>
      <c r="B53" s="2" t="s">
        <v>54</v>
      </c>
      <c r="C53" s="23">
        <v>17.821999999999999</v>
      </c>
    </row>
    <row r="54" spans="1:3" ht="30" x14ac:dyDescent="0.25">
      <c r="A54" s="22">
        <v>25138</v>
      </c>
      <c r="B54" s="2" t="s">
        <v>55</v>
      </c>
      <c r="C54" s="23">
        <v>17.849999999999998</v>
      </c>
    </row>
    <row r="55" spans="1:3" x14ac:dyDescent="0.25">
      <c r="A55" s="22">
        <v>63232</v>
      </c>
      <c r="B55" s="2" t="s">
        <v>56</v>
      </c>
      <c r="C55" s="23">
        <v>17.849999999999998</v>
      </c>
    </row>
    <row r="56" spans="1:3" x14ac:dyDescent="0.25">
      <c r="A56" s="22">
        <v>90727</v>
      </c>
      <c r="B56" s="2" t="s">
        <v>57</v>
      </c>
      <c r="C56" s="23">
        <v>17.849999999999998</v>
      </c>
    </row>
    <row r="57" spans="1:3" x14ac:dyDescent="0.25">
      <c r="A57" s="22">
        <v>78899</v>
      </c>
      <c r="B57" s="2" t="s">
        <v>58</v>
      </c>
      <c r="C57" s="23">
        <v>18.885999999999999</v>
      </c>
    </row>
    <row r="58" spans="1:3" x14ac:dyDescent="0.25">
      <c r="A58" s="22">
        <v>20343</v>
      </c>
      <c r="B58" s="2" t="s">
        <v>59</v>
      </c>
      <c r="C58" s="23">
        <v>18.941999999999997</v>
      </c>
    </row>
    <row r="59" spans="1:3" x14ac:dyDescent="0.25">
      <c r="A59" s="22">
        <v>60915</v>
      </c>
      <c r="B59" s="2" t="s">
        <v>60</v>
      </c>
      <c r="C59" s="23">
        <v>18.941999999999997</v>
      </c>
    </row>
    <row r="60" spans="1:3" ht="30" x14ac:dyDescent="0.25">
      <c r="A60" s="22">
        <v>15001</v>
      </c>
      <c r="B60" s="2" t="s">
        <v>61</v>
      </c>
      <c r="C60" s="23">
        <v>19.04</v>
      </c>
    </row>
    <row r="61" spans="1:3" ht="30" x14ac:dyDescent="0.25">
      <c r="A61" s="22">
        <v>64091</v>
      </c>
      <c r="B61" s="2" t="s">
        <v>62</v>
      </c>
      <c r="C61" s="23">
        <v>19.04</v>
      </c>
    </row>
    <row r="62" spans="1:3" ht="30" x14ac:dyDescent="0.25">
      <c r="A62" s="22">
        <v>97713</v>
      </c>
      <c r="B62" s="2" t="s">
        <v>63</v>
      </c>
      <c r="C62" s="23">
        <v>19.04</v>
      </c>
    </row>
    <row r="63" spans="1:3" x14ac:dyDescent="0.25">
      <c r="A63" s="22">
        <v>30763</v>
      </c>
      <c r="B63" s="2" t="s">
        <v>64</v>
      </c>
      <c r="C63" s="23">
        <v>18.955999999999996</v>
      </c>
    </row>
    <row r="64" spans="1:3" x14ac:dyDescent="0.25">
      <c r="A64" s="22">
        <v>21303</v>
      </c>
      <c r="B64" s="2" t="s">
        <v>65</v>
      </c>
      <c r="C64" s="23">
        <v>19.012</v>
      </c>
    </row>
    <row r="65" spans="1:3" ht="30" x14ac:dyDescent="0.25">
      <c r="A65" s="22">
        <v>54709</v>
      </c>
      <c r="B65" s="2" t="s">
        <v>66</v>
      </c>
      <c r="C65" s="23">
        <v>19.11</v>
      </c>
    </row>
    <row r="66" spans="1:3" ht="30" x14ac:dyDescent="0.25">
      <c r="A66" s="22">
        <v>80484</v>
      </c>
      <c r="B66" s="2" t="s">
        <v>67</v>
      </c>
      <c r="C66" s="23">
        <v>19.11</v>
      </c>
    </row>
    <row r="67" spans="1:3" x14ac:dyDescent="0.25">
      <c r="A67" s="22">
        <v>37654</v>
      </c>
      <c r="B67" s="2" t="s">
        <v>68</v>
      </c>
      <c r="C67" s="23">
        <v>19.012</v>
      </c>
    </row>
    <row r="68" spans="1:3" ht="30" x14ac:dyDescent="0.25">
      <c r="A68" s="22">
        <v>21356</v>
      </c>
      <c r="B68" s="2" t="s">
        <v>69</v>
      </c>
      <c r="C68" s="23">
        <v>18.032</v>
      </c>
    </row>
    <row r="69" spans="1:3" ht="30" x14ac:dyDescent="0.25">
      <c r="A69" s="22">
        <v>31020</v>
      </c>
      <c r="B69" s="2" t="s">
        <v>70</v>
      </c>
      <c r="C69" s="23">
        <v>19.082000000000001</v>
      </c>
    </row>
    <row r="70" spans="1:3" ht="30" x14ac:dyDescent="0.25">
      <c r="A70" s="22">
        <v>43312</v>
      </c>
      <c r="B70" s="2" t="s">
        <v>71</v>
      </c>
      <c r="C70" s="23">
        <v>19.067999999999998</v>
      </c>
    </row>
    <row r="71" spans="1:3" ht="30" x14ac:dyDescent="0.25">
      <c r="A71" s="22">
        <v>81719</v>
      </c>
      <c r="B71" s="2" t="s">
        <v>72</v>
      </c>
      <c r="C71" s="23">
        <v>19.082000000000001</v>
      </c>
    </row>
    <row r="72" spans="1:3" x14ac:dyDescent="0.25">
      <c r="A72" s="22">
        <v>28788</v>
      </c>
      <c r="B72" s="2" t="s">
        <v>73</v>
      </c>
      <c r="C72" s="23">
        <v>19.165999999999997</v>
      </c>
    </row>
    <row r="73" spans="1:3" x14ac:dyDescent="0.25">
      <c r="A73" s="22">
        <v>87521</v>
      </c>
      <c r="B73" s="2" t="s">
        <v>74</v>
      </c>
      <c r="C73" s="23">
        <v>19.165999999999997</v>
      </c>
    </row>
    <row r="74" spans="1:3" ht="30" x14ac:dyDescent="0.25">
      <c r="A74" s="22">
        <v>71860</v>
      </c>
      <c r="B74" s="2" t="s">
        <v>75</v>
      </c>
      <c r="C74" s="23">
        <v>18.017999999999997</v>
      </c>
    </row>
    <row r="75" spans="1:3" ht="30" x14ac:dyDescent="0.25">
      <c r="A75" s="22">
        <v>88755</v>
      </c>
      <c r="B75" s="2" t="s">
        <v>76</v>
      </c>
      <c r="C75" s="23">
        <v>19.11</v>
      </c>
    </row>
    <row r="76" spans="1:3" ht="30" x14ac:dyDescent="0.25">
      <c r="A76" s="22">
        <v>94088</v>
      </c>
      <c r="B76" s="2" t="s">
        <v>77</v>
      </c>
      <c r="C76" s="23">
        <v>19.123999999999999</v>
      </c>
    </row>
    <row r="77" spans="1:3" ht="30" x14ac:dyDescent="0.25">
      <c r="A77" s="22">
        <v>49331</v>
      </c>
      <c r="B77" s="2" t="s">
        <v>78</v>
      </c>
      <c r="C77" s="23">
        <v>19.123999999999999</v>
      </c>
    </row>
    <row r="78" spans="1:3" ht="30" x14ac:dyDescent="0.25">
      <c r="A78" s="22">
        <v>53183</v>
      </c>
      <c r="B78" s="2" t="s">
        <v>79</v>
      </c>
      <c r="C78" s="23">
        <v>19.123999999999999</v>
      </c>
    </row>
    <row r="79" spans="1:3" ht="30" x14ac:dyDescent="0.25">
      <c r="A79" s="22">
        <v>23045</v>
      </c>
      <c r="B79" s="2" t="s">
        <v>80</v>
      </c>
      <c r="C79" s="23">
        <v>19.123999999999999</v>
      </c>
    </row>
    <row r="80" spans="1:3" ht="30" x14ac:dyDescent="0.25">
      <c r="A80" s="22">
        <v>30871</v>
      </c>
      <c r="B80" s="2" t="s">
        <v>81</v>
      </c>
      <c r="C80" s="23">
        <v>19.165999999999997</v>
      </c>
    </row>
    <row r="81" spans="1:3" ht="30" x14ac:dyDescent="0.25">
      <c r="A81" s="22">
        <v>22234</v>
      </c>
      <c r="B81" s="2" t="s">
        <v>82</v>
      </c>
      <c r="C81" s="23">
        <v>19.236000000000001</v>
      </c>
    </row>
    <row r="82" spans="1:3" ht="30" x14ac:dyDescent="0.25">
      <c r="A82" s="22">
        <v>51609</v>
      </c>
      <c r="B82" s="2" t="s">
        <v>93</v>
      </c>
      <c r="C82" s="23">
        <v>19.236000000000001</v>
      </c>
    </row>
    <row r="83" spans="1:3" ht="30" x14ac:dyDescent="0.25">
      <c r="A83" s="22">
        <v>60836</v>
      </c>
      <c r="B83" s="2" t="s">
        <v>83</v>
      </c>
      <c r="C83" s="23">
        <v>19.236000000000001</v>
      </c>
    </row>
    <row r="84" spans="1:3" ht="30" x14ac:dyDescent="0.25">
      <c r="A84" s="22">
        <v>93492</v>
      </c>
      <c r="B84" s="2" t="s">
        <v>84</v>
      </c>
      <c r="C84" s="23">
        <v>19.236000000000001</v>
      </c>
    </row>
    <row r="85" spans="1:3" ht="30" x14ac:dyDescent="0.25">
      <c r="A85" s="22">
        <v>76363</v>
      </c>
      <c r="B85" s="2" t="s">
        <v>85</v>
      </c>
      <c r="C85" s="23">
        <v>19.236000000000001</v>
      </c>
    </row>
    <row r="86" spans="1:3" x14ac:dyDescent="0.25">
      <c r="A86"/>
      <c r="B86"/>
      <c r="C8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Invoice</vt:lpstr>
      <vt:lpstr>Catalogue</vt:lpstr>
      <vt:lpstr>PartsCatalog</vt:lpstr>
    </vt:vector>
  </TitlesOfParts>
  <Company>Simon Sez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2016 Advanced Exercise 06 Answer</dc:title>
  <dc:creator>Toby Arnott</dc:creator>
  <cp:lastModifiedBy>Toby Arnott</cp:lastModifiedBy>
  <dcterms:created xsi:type="dcterms:W3CDTF">2013-05-01T09:44:24Z</dcterms:created>
  <dcterms:modified xsi:type="dcterms:W3CDTF">2016-09-26T14:41:08Z</dcterms:modified>
</cp:coreProperties>
</file>