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</sheets>
  <functionGroups builtInGroupCount="18"/>
  <externalReferences>
    <externalReference r:id="rId2"/>
  </externalReferences>
  <definedNames>
    <definedName name="_xlnm._FilterDatabase" localSheetId="0" hidden="1">'Branch Monthly Sales'!$A$1:$A$256</definedName>
    <definedName name="OrlandoEnquiries">'Branch Monthly Sales'!$B$4:$B$51</definedName>
    <definedName name="OrlandoPolicies">'Branch Monthly Sales'!$C$4:$C$51</definedName>
    <definedName name="TampaEnquiries">'Branch Monthly Sales'!$D$4:$D$51</definedName>
    <definedName name="TampaPolicies">'Branch Monthly Sales'!$E$4:$E$51</definedName>
  </definedNames>
  <calcPr calcId="171027" concurrentCalc="0"/>
</workbook>
</file>

<file path=xl/calcChain.xml><?xml version="1.0" encoding="utf-8"?>
<calcChain xmlns="http://schemas.openxmlformats.org/spreadsheetml/2006/main">
  <c r="E56" i="148" l="1"/>
  <c r="D56" i="148"/>
  <c r="E54" i="148"/>
  <c r="D54" i="148"/>
  <c r="E53" i="148"/>
  <c r="D53" i="148"/>
  <c r="C53" i="148"/>
  <c r="E55" i="148"/>
  <c r="D55" i="148"/>
  <c r="C56" i="148"/>
  <c r="C55" i="148"/>
  <c r="C54" i="148"/>
  <c r="C57" i="148"/>
  <c r="D57" i="148"/>
  <c r="E57" i="148"/>
  <c r="C58" i="148"/>
  <c r="D58" i="148"/>
  <c r="E58" i="148"/>
  <c r="B58" i="148"/>
  <c r="B57" i="148"/>
  <c r="B56" i="148"/>
  <c r="B55" i="148"/>
  <c r="B54" i="148"/>
  <c r="B53" i="148"/>
</calcChain>
</file>

<file path=xl/sharedStrings.xml><?xml version="1.0" encoding="utf-8"?>
<sst xmlns="http://schemas.openxmlformats.org/spreadsheetml/2006/main" count="13" uniqueCount="11">
  <si>
    <t xml:space="preserve">Date </t>
  </si>
  <si>
    <t>Enquiries</t>
  </si>
  <si>
    <t>Policies</t>
  </si>
  <si>
    <t>Interquartile Range:</t>
  </si>
  <si>
    <t>Orlando Monthly Totals</t>
  </si>
  <si>
    <t>Tampa Monthly Totals</t>
  </si>
  <si>
    <t>Mean:</t>
  </si>
  <si>
    <t>Standard Deviation:</t>
  </si>
  <si>
    <t>Q1:</t>
  </si>
  <si>
    <t>Q3:</t>
  </si>
  <si>
    <t>Semi-Interquartile 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</si>
</sst>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6">
    <xf numFmtId="0" fontId="0" fillId="0" borderId="0" xfId="0"/>
    <xf numFmtId="0" fontId="0" fillId="0" borderId="0" xfId="0" applyFill="1"/>
    <xf numFmtId="0" fontId="0" fillId="0" borderId="0" xfId="0"/>
    <xf numFmtId="0" fontId="1" fillId="2" borderId="0" xfId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1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2" borderId="1" xfId="1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2" borderId="1" xfId="1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3" borderId="0" xfId="0" applyFill="1"/>
    <xf numFmtId="3" fontId="0" fillId="0" borderId="0" xfId="0" applyNumberFormat="1" applyFill="1" applyAlignment="1">
      <alignment horizontal="center"/>
    </xf>
    <xf numFmtId="0" fontId="0" fillId="3" borderId="0" xfId="0" applyFill="1" applyAlignment="1">
      <alignment horizontal="right"/>
    </xf>
    <xf numFmtId="3" fontId="0" fillId="0" borderId="0" xfId="0" applyNumberFormat="1" applyAlignment="1">
      <alignment horizontal="center"/>
    </xf>
    <xf numFmtId="17" fontId="0" fillId="3" borderId="0" xfId="0" applyNumberFormat="1" applyFill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 vertical="center"/>
    </xf>
  </cellXfs>
  <cellStyles count="2">
    <cellStyle name="20% - Accent1" xfId="1" builtinId="30"/>
    <cellStyle name="Normal" xfId="0" builtinId="0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16%20SSI%20Excel%202016%20Advanced/Sample%20Files/Old%20Excel%20Sample%20Files/Statistics%20Demo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lando Sales"/>
      <sheetName val="Predict"/>
      <sheetName val="Multiple"/>
      <sheetName val="Groups"/>
      <sheetName val="Analysis"/>
      <sheetName val="New business"/>
      <sheetName val="Orlando, FL"/>
      <sheetName val="Miami, FL"/>
      <sheetName val="Tampa, FL"/>
      <sheetName val="Memphis, TN"/>
      <sheetName val="Nashville, TN"/>
      <sheetName val="Clarksville, TN"/>
      <sheetName val="Las Vegas, NV"/>
      <sheetName val="Reno, NV"/>
      <sheetName val="Paradise, NV"/>
      <sheetName val="Bridgeport, CT"/>
      <sheetName val="Stamford, CT"/>
      <sheetName val="Hartford, CT"/>
      <sheetName val="Los Angeles, CA"/>
      <sheetName val="San Diego, CA"/>
      <sheetName val="San Jose, CA"/>
      <sheetName val="Newark, DE"/>
      <sheetName val="Wilmington, DE"/>
      <sheetName val="Detroit, MI"/>
      <sheetName val="Grand Rapids, MI"/>
      <sheetName val="Cincinnati, OH"/>
      <sheetName val="Cleveland, OH"/>
      <sheetName val="Colmbus, OH"/>
      <sheetName val="Houston, TX"/>
      <sheetName val="Dallas, TX"/>
      <sheetName val="Austin, TX"/>
      <sheetName val="Providence, RI"/>
      <sheetName val="Warwick, RI"/>
      <sheetName val="Newark, NJ"/>
      <sheetName val="Jersey City, NJ"/>
      <sheetName val="Paterson, NJ"/>
      <sheetName val="Lexington, KY"/>
      <sheetName val="Louisville, KY"/>
      <sheetName val="Owensboro, KY"/>
      <sheetName val="Kansas City, MO"/>
      <sheetName val="St. Louis, MO"/>
      <sheetName val="Springfield, MO"/>
      <sheetName val="Atlanta, GA"/>
      <sheetName val="Augusta, GA"/>
      <sheetName val="Columbus, GA"/>
      <sheetName val="Phoenix, AZ"/>
      <sheetName val="Tucson, AZ"/>
      <sheetName val="Mesa, AZ"/>
      <sheetName val="Charlotte, NC"/>
      <sheetName val="Raleigh, NC"/>
      <sheetName val="Greensboro, NC"/>
      <sheetName val="Columbia, SC"/>
      <sheetName val="Charleston, SC"/>
      <sheetName val="Indianapolis, IN"/>
      <sheetName val="Fort Wayne, IN"/>
      <sheetName val="Evansville, IN"/>
      <sheetName val="Salt Lake City, UT"/>
      <sheetName val="Provo, UT"/>
      <sheetName val="West Jordan, UT"/>
      <sheetName val="Chicago, IL"/>
      <sheetName val="Aurora, IL"/>
      <sheetName val="Rockford, IL"/>
      <sheetName val="Cedar Rapids, IA"/>
      <sheetName val="Des Moines, IA"/>
      <sheetName val="Wichita, KS"/>
      <sheetName val="Topeka, KS"/>
      <sheetName val="New Orleans, LA"/>
      <sheetName val="Baton Rouge, LA"/>
      <sheetName val="Chattanooga, TN"/>
      <sheetName val="Portland, ME"/>
      <sheetName val="Lewiston, ME"/>
      <sheetName val="Minneapolis, MN"/>
      <sheetName val="Saint Paul, MN"/>
      <sheetName val="Pittsbugh, PA"/>
      <sheetName val="Branches"/>
      <sheetName val="Parameters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J256"/>
  <sheetViews>
    <sheetView tabSelected="1" zoomScale="200" zoomScaleNormal="200" workbookViewId="0">
      <pane xSplit="1" ySplit="3" topLeftCell="B46" activePane="bottomRight" state="frozen"/>
      <selection pane="topRight" activeCell="B1" sqref="B1"/>
      <selection pane="bottomLeft" activeCell="A5" sqref="A5"/>
      <selection pane="bottomRight" activeCell="B53" sqref="B53"/>
    </sheetView>
  </sheetViews>
  <sheetFormatPr defaultColWidth="14.140625" defaultRowHeight="15" x14ac:dyDescent="0.25"/>
  <cols>
    <col min="1" max="1" width="23" style="4" customWidth="1"/>
    <col min="2" max="2" width="10.7109375" style="10" customWidth="1"/>
    <col min="3" max="3" width="10.140625" style="10" customWidth="1"/>
    <col min="4" max="4" width="10.7109375" style="10" customWidth="1"/>
    <col min="5" max="5" width="10.140625" style="10" customWidth="1"/>
    <col min="6" max="6" width="18.140625" bestFit="1" customWidth="1"/>
    <col min="7" max="7" width="19.85546875" customWidth="1"/>
    <col min="8" max="8" width="7.7109375" customWidth="1"/>
    <col min="9" max="10" width="7.7109375" style="14" customWidth="1"/>
    <col min="11" max="15" width="7.7109375" style="2" customWidth="1"/>
    <col min="16" max="16384" width="14.140625" style="2"/>
  </cols>
  <sheetData>
    <row r="1" spans="1:10" x14ac:dyDescent="0.25">
      <c r="A1" s="3"/>
      <c r="B1" s="13">
        <v>1</v>
      </c>
      <c r="C1" s="13"/>
      <c r="D1" s="13">
        <v>2</v>
      </c>
      <c r="E1" s="13"/>
    </row>
    <row r="2" spans="1:10" x14ac:dyDescent="0.25">
      <c r="B2" s="11" t="s">
        <v>4</v>
      </c>
      <c r="C2" s="12"/>
      <c r="D2" s="11" t="s">
        <v>5</v>
      </c>
      <c r="E2" s="12"/>
    </row>
    <row r="3" spans="1:10" x14ac:dyDescent="0.25">
      <c r="A3" s="5" t="s">
        <v>0</v>
      </c>
      <c r="B3" s="8" t="s">
        <v>1</v>
      </c>
      <c r="C3" s="8" t="s">
        <v>2</v>
      </c>
      <c r="D3" s="8" t="s">
        <v>1</v>
      </c>
      <c r="E3" s="8" t="s">
        <v>2</v>
      </c>
    </row>
    <row r="4" spans="1:10" s="1" customFormat="1" x14ac:dyDescent="0.25">
      <c r="A4" s="6">
        <v>40909</v>
      </c>
      <c r="B4" s="16">
        <v>544</v>
      </c>
      <c r="C4" s="16">
        <v>114</v>
      </c>
      <c r="D4" s="16">
        <v>152</v>
      </c>
      <c r="E4" s="16">
        <v>41</v>
      </c>
      <c r="F4"/>
      <c r="G4"/>
      <c r="H4"/>
      <c r="I4" s="16"/>
      <c r="J4" s="16"/>
    </row>
    <row r="5" spans="1:10" s="1" customFormat="1" x14ac:dyDescent="0.25">
      <c r="A5" s="6">
        <v>40940</v>
      </c>
      <c r="B5" s="16">
        <v>552</v>
      </c>
      <c r="C5" s="16">
        <v>102</v>
      </c>
      <c r="D5" s="16">
        <v>200</v>
      </c>
      <c r="E5" s="16">
        <v>69</v>
      </c>
      <c r="F5"/>
      <c r="G5"/>
      <c r="H5"/>
      <c r="I5" s="16"/>
      <c r="J5" s="16"/>
    </row>
    <row r="6" spans="1:10" s="1" customFormat="1" x14ac:dyDescent="0.25">
      <c r="A6" s="6">
        <v>40969</v>
      </c>
      <c r="B6" s="16">
        <v>572</v>
      </c>
      <c r="C6" s="16">
        <v>140</v>
      </c>
      <c r="D6" s="16">
        <v>206</v>
      </c>
      <c r="E6" s="16">
        <v>68</v>
      </c>
      <c r="F6"/>
      <c r="G6"/>
      <c r="H6"/>
    </row>
    <row r="7" spans="1:10" s="1" customFormat="1" x14ac:dyDescent="0.25">
      <c r="A7" s="6">
        <v>41000</v>
      </c>
      <c r="B7" s="18">
        <v>593</v>
      </c>
      <c r="C7" s="16">
        <v>150</v>
      </c>
      <c r="D7" s="16">
        <v>226</v>
      </c>
      <c r="E7" s="16">
        <v>68</v>
      </c>
      <c r="F7"/>
      <c r="G7"/>
      <c r="H7"/>
    </row>
    <row r="8" spans="1:10" s="1" customFormat="1" x14ac:dyDescent="0.25">
      <c r="A8" s="6">
        <v>41030</v>
      </c>
      <c r="B8" s="18">
        <v>585</v>
      </c>
      <c r="C8" s="16">
        <v>139</v>
      </c>
      <c r="D8" s="16">
        <v>276</v>
      </c>
      <c r="E8" s="16">
        <v>106</v>
      </c>
      <c r="F8"/>
      <c r="G8"/>
      <c r="H8"/>
    </row>
    <row r="9" spans="1:10" s="9" customFormat="1" x14ac:dyDescent="0.25">
      <c r="A9" s="6">
        <v>41061</v>
      </c>
      <c r="B9" s="18">
        <v>618</v>
      </c>
      <c r="C9" s="16">
        <v>189</v>
      </c>
      <c r="D9" s="16">
        <v>293</v>
      </c>
      <c r="E9" s="16">
        <v>116</v>
      </c>
      <c r="F9"/>
      <c r="G9"/>
      <c r="H9"/>
    </row>
    <row r="10" spans="1:10" s="1" customFormat="1" x14ac:dyDescent="0.25">
      <c r="A10" s="6">
        <v>41091</v>
      </c>
      <c r="B10" s="18">
        <v>662</v>
      </c>
      <c r="C10" s="16">
        <v>174</v>
      </c>
      <c r="D10" s="16">
        <v>289</v>
      </c>
      <c r="E10" s="16">
        <v>84</v>
      </c>
      <c r="F10"/>
      <c r="G10"/>
      <c r="H10"/>
    </row>
    <row r="11" spans="1:10" s="1" customFormat="1" x14ac:dyDescent="0.25">
      <c r="A11" s="6">
        <v>41122</v>
      </c>
      <c r="B11" s="18">
        <v>660</v>
      </c>
      <c r="C11" s="16">
        <v>182</v>
      </c>
      <c r="D11" s="16">
        <v>272</v>
      </c>
      <c r="E11" s="16">
        <v>81</v>
      </c>
      <c r="F11"/>
      <c r="G11"/>
      <c r="H11"/>
    </row>
    <row r="12" spans="1:10" s="1" customFormat="1" x14ac:dyDescent="0.25">
      <c r="A12" s="6">
        <v>41153</v>
      </c>
      <c r="B12" s="18">
        <v>655</v>
      </c>
      <c r="C12" s="16">
        <v>151</v>
      </c>
      <c r="D12" s="16">
        <v>262</v>
      </c>
      <c r="E12" s="16">
        <v>57</v>
      </c>
      <c r="F12"/>
      <c r="G12"/>
      <c r="H12"/>
    </row>
    <row r="13" spans="1:10" s="1" customFormat="1" ht="15" customHeight="1" x14ac:dyDescent="0.25">
      <c r="A13" s="6">
        <v>41183</v>
      </c>
      <c r="B13" s="18">
        <v>641</v>
      </c>
      <c r="C13" s="16">
        <v>149</v>
      </c>
      <c r="D13" s="16">
        <v>254</v>
      </c>
      <c r="E13" s="16">
        <v>69</v>
      </c>
      <c r="F13"/>
      <c r="G13"/>
      <c r="H13"/>
    </row>
    <row r="14" spans="1:10" s="1" customFormat="1" x14ac:dyDescent="0.25">
      <c r="A14" s="6">
        <v>41214</v>
      </c>
      <c r="B14" s="18">
        <v>638</v>
      </c>
      <c r="C14" s="16">
        <v>154</v>
      </c>
      <c r="D14" s="16">
        <v>268</v>
      </c>
      <c r="E14" s="16">
        <v>88</v>
      </c>
      <c r="F14"/>
      <c r="G14"/>
      <c r="H14"/>
      <c r="I14" s="16"/>
      <c r="J14" s="16"/>
    </row>
    <row r="15" spans="1:10" s="1" customFormat="1" x14ac:dyDescent="0.25">
      <c r="A15" s="6">
        <v>41244</v>
      </c>
      <c r="B15" s="18">
        <v>575</v>
      </c>
      <c r="C15" s="16">
        <v>99</v>
      </c>
      <c r="D15" s="16">
        <v>242</v>
      </c>
      <c r="E15" s="16">
        <v>48</v>
      </c>
      <c r="F15"/>
      <c r="G15"/>
      <c r="H15"/>
      <c r="I15" s="16"/>
      <c r="J15" s="16"/>
    </row>
    <row r="16" spans="1:10" s="1" customFormat="1" x14ac:dyDescent="0.25">
      <c r="A16" s="6">
        <v>41275</v>
      </c>
      <c r="B16" s="18">
        <v>590</v>
      </c>
      <c r="C16" s="16">
        <v>132</v>
      </c>
      <c r="D16" s="16">
        <v>212</v>
      </c>
      <c r="E16" s="16">
        <v>35</v>
      </c>
      <c r="F16"/>
      <c r="G16"/>
      <c r="H16"/>
      <c r="I16" s="16"/>
      <c r="J16" s="16"/>
    </row>
    <row r="17" spans="1:10" s="1" customFormat="1" x14ac:dyDescent="0.25">
      <c r="A17" s="6">
        <v>41306</v>
      </c>
      <c r="B17" s="18">
        <v>612</v>
      </c>
      <c r="C17" s="16">
        <v>132</v>
      </c>
      <c r="D17" s="16">
        <v>233</v>
      </c>
      <c r="E17" s="16">
        <v>57</v>
      </c>
      <c r="F17"/>
      <c r="G17"/>
      <c r="H17"/>
      <c r="I17"/>
      <c r="J17"/>
    </row>
    <row r="18" spans="1:10" s="1" customFormat="1" x14ac:dyDescent="0.25">
      <c r="A18" s="6">
        <v>41334</v>
      </c>
      <c r="B18" s="18">
        <v>614</v>
      </c>
      <c r="C18" s="16">
        <v>138</v>
      </c>
      <c r="D18" s="16">
        <v>217</v>
      </c>
      <c r="E18" s="16">
        <v>52</v>
      </c>
      <c r="F18"/>
      <c r="G18"/>
      <c r="H18"/>
      <c r="I18"/>
      <c r="J18"/>
    </row>
    <row r="19" spans="1:10" s="1" customFormat="1" x14ac:dyDescent="0.25">
      <c r="A19" s="6">
        <v>41365</v>
      </c>
      <c r="B19" s="18">
        <v>618</v>
      </c>
      <c r="C19" s="16">
        <v>114</v>
      </c>
      <c r="D19" s="16">
        <v>219</v>
      </c>
      <c r="E19" s="16">
        <v>53</v>
      </c>
      <c r="F19"/>
      <c r="G19"/>
      <c r="H19"/>
      <c r="I19"/>
      <c r="J19"/>
    </row>
    <row r="20" spans="1:10" s="1" customFormat="1" x14ac:dyDescent="0.25">
      <c r="A20" s="6">
        <v>41395</v>
      </c>
      <c r="B20" s="18">
        <v>649</v>
      </c>
      <c r="C20" s="16">
        <v>154</v>
      </c>
      <c r="D20" s="16">
        <v>253</v>
      </c>
      <c r="E20" s="16">
        <v>84</v>
      </c>
      <c r="F20"/>
      <c r="G20"/>
      <c r="H20"/>
      <c r="I20"/>
      <c r="J20"/>
    </row>
    <row r="21" spans="1:10" s="1" customFormat="1" x14ac:dyDescent="0.25">
      <c r="A21" s="6">
        <v>41426</v>
      </c>
      <c r="B21" s="18">
        <v>647</v>
      </c>
      <c r="C21" s="16">
        <v>145</v>
      </c>
      <c r="D21" s="16">
        <v>259</v>
      </c>
      <c r="E21" s="16">
        <v>95</v>
      </c>
      <c r="F21"/>
      <c r="G21"/>
      <c r="H21"/>
      <c r="I21"/>
      <c r="J21"/>
    </row>
    <row r="22" spans="1:10" s="1" customFormat="1" x14ac:dyDescent="0.25">
      <c r="A22" s="6">
        <v>41456</v>
      </c>
      <c r="B22" s="18">
        <v>604</v>
      </c>
      <c r="C22" s="16">
        <v>108</v>
      </c>
      <c r="D22" s="16">
        <v>271</v>
      </c>
      <c r="E22" s="16">
        <v>88</v>
      </c>
      <c r="F22"/>
      <c r="G22"/>
      <c r="H22"/>
      <c r="I22"/>
      <c r="J22"/>
    </row>
    <row r="23" spans="1:10" s="1" customFormat="1" x14ac:dyDescent="0.25">
      <c r="A23" s="6">
        <v>41487</v>
      </c>
      <c r="B23" s="18">
        <v>573</v>
      </c>
      <c r="C23" s="16">
        <v>124</v>
      </c>
      <c r="D23" s="16">
        <v>251</v>
      </c>
      <c r="E23" s="16">
        <v>69</v>
      </c>
      <c r="F23"/>
      <c r="G23"/>
      <c r="H23"/>
      <c r="I23"/>
      <c r="J23"/>
    </row>
    <row r="24" spans="1:10" s="1" customFormat="1" x14ac:dyDescent="0.25">
      <c r="A24" s="6">
        <v>41518</v>
      </c>
      <c r="B24" s="18">
        <v>553</v>
      </c>
      <c r="C24" s="16">
        <v>98</v>
      </c>
      <c r="D24" s="16">
        <v>245</v>
      </c>
      <c r="E24" s="16">
        <v>60</v>
      </c>
      <c r="F24"/>
      <c r="G24"/>
      <c r="H24"/>
      <c r="I24"/>
      <c r="J24"/>
    </row>
    <row r="25" spans="1:10" s="1" customFormat="1" x14ac:dyDescent="0.25">
      <c r="A25" s="6">
        <v>41548</v>
      </c>
      <c r="B25" s="18">
        <v>579</v>
      </c>
      <c r="C25" s="16">
        <v>137</v>
      </c>
      <c r="D25" s="16">
        <v>217</v>
      </c>
      <c r="E25" s="16">
        <v>57</v>
      </c>
      <c r="F25"/>
      <c r="G25"/>
      <c r="H25"/>
      <c r="I25"/>
      <c r="J25"/>
    </row>
    <row r="26" spans="1:10" s="1" customFormat="1" x14ac:dyDescent="0.25">
      <c r="A26" s="6">
        <v>41579</v>
      </c>
      <c r="B26" s="18">
        <v>535</v>
      </c>
      <c r="C26" s="16">
        <v>101</v>
      </c>
      <c r="D26" s="16">
        <v>220</v>
      </c>
      <c r="E26" s="16">
        <v>54</v>
      </c>
      <c r="F26"/>
      <c r="G26"/>
      <c r="H26"/>
      <c r="I26"/>
      <c r="J26"/>
    </row>
    <row r="27" spans="1:10" s="1" customFormat="1" x14ac:dyDescent="0.25">
      <c r="A27" s="6">
        <v>41609</v>
      </c>
      <c r="B27" s="18">
        <v>486</v>
      </c>
      <c r="C27" s="16">
        <v>61</v>
      </c>
      <c r="D27" s="16">
        <v>204</v>
      </c>
      <c r="E27" s="16">
        <v>48</v>
      </c>
      <c r="F27"/>
      <c r="G27"/>
      <c r="H27"/>
      <c r="I27" s="16"/>
      <c r="J27" s="16"/>
    </row>
    <row r="28" spans="1:10" s="1" customFormat="1" x14ac:dyDescent="0.25">
      <c r="A28" s="6">
        <v>41640</v>
      </c>
      <c r="B28" s="18">
        <v>498</v>
      </c>
      <c r="C28" s="16">
        <v>90</v>
      </c>
      <c r="D28" s="16">
        <v>190</v>
      </c>
      <c r="E28" s="16">
        <v>22</v>
      </c>
      <c r="F28"/>
      <c r="G28"/>
      <c r="H28"/>
      <c r="I28" s="16"/>
      <c r="J28" s="16"/>
    </row>
    <row r="29" spans="1:10" s="1" customFormat="1" x14ac:dyDescent="0.25">
      <c r="A29" s="6">
        <v>41671</v>
      </c>
      <c r="B29" s="18">
        <v>519</v>
      </c>
      <c r="C29" s="16">
        <v>99</v>
      </c>
      <c r="D29" s="16">
        <v>225</v>
      </c>
      <c r="E29" s="16">
        <v>51</v>
      </c>
      <c r="F29"/>
      <c r="G29"/>
      <c r="H29"/>
      <c r="I29" s="16"/>
      <c r="J29" s="16"/>
    </row>
    <row r="30" spans="1:10" s="1" customFormat="1" x14ac:dyDescent="0.25">
      <c r="A30" s="6">
        <v>41699</v>
      </c>
      <c r="B30" s="18">
        <v>597</v>
      </c>
      <c r="C30" s="16">
        <v>162</v>
      </c>
      <c r="D30" s="16">
        <v>273</v>
      </c>
      <c r="E30" s="16">
        <v>85</v>
      </c>
      <c r="F30"/>
      <c r="G30"/>
      <c r="H30"/>
      <c r="I30" s="16"/>
      <c r="J30" s="16"/>
    </row>
    <row r="31" spans="1:10" s="1" customFormat="1" x14ac:dyDescent="0.25">
      <c r="A31" s="6">
        <v>41730</v>
      </c>
      <c r="B31" s="18">
        <v>597</v>
      </c>
      <c r="C31" s="16">
        <v>132</v>
      </c>
      <c r="D31" s="16">
        <v>273</v>
      </c>
      <c r="E31" s="16">
        <v>77</v>
      </c>
      <c r="F31"/>
      <c r="G31"/>
      <c r="H31"/>
    </row>
    <row r="32" spans="1:10" s="1" customFormat="1" x14ac:dyDescent="0.25">
      <c r="A32" s="6">
        <v>41760</v>
      </c>
      <c r="B32" s="18">
        <v>607</v>
      </c>
      <c r="C32" s="16">
        <v>137</v>
      </c>
      <c r="D32" s="16">
        <v>328</v>
      </c>
      <c r="E32" s="16">
        <v>100</v>
      </c>
      <c r="F32"/>
      <c r="G32"/>
      <c r="H32"/>
    </row>
    <row r="33" spans="1:10" s="1" customFormat="1" x14ac:dyDescent="0.25">
      <c r="A33" s="6">
        <v>41791</v>
      </c>
      <c r="B33" s="18">
        <v>628</v>
      </c>
      <c r="C33" s="16">
        <v>141</v>
      </c>
      <c r="D33" s="16">
        <v>340</v>
      </c>
      <c r="E33" s="16">
        <v>79</v>
      </c>
      <c r="F33"/>
      <c r="G33"/>
      <c r="H33"/>
    </row>
    <row r="34" spans="1:10" s="1" customFormat="1" x14ac:dyDescent="0.25">
      <c r="A34" s="6">
        <v>41821</v>
      </c>
      <c r="B34" s="18">
        <v>625</v>
      </c>
      <c r="C34" s="16">
        <v>128</v>
      </c>
      <c r="D34" s="16">
        <v>328</v>
      </c>
      <c r="E34" s="16">
        <v>67</v>
      </c>
      <c r="F34"/>
      <c r="G34"/>
      <c r="H34"/>
    </row>
    <row r="35" spans="1:10" s="1" customFormat="1" x14ac:dyDescent="0.25">
      <c r="A35" s="6">
        <v>41852</v>
      </c>
      <c r="B35" s="18">
        <v>598</v>
      </c>
      <c r="C35" s="16">
        <v>115</v>
      </c>
      <c r="D35" s="16">
        <v>322</v>
      </c>
      <c r="E35" s="16">
        <v>58</v>
      </c>
      <c r="F35"/>
      <c r="G35"/>
      <c r="H35"/>
    </row>
    <row r="36" spans="1:10" s="1" customFormat="1" x14ac:dyDescent="0.25">
      <c r="A36" s="6">
        <v>41883</v>
      </c>
      <c r="B36" s="18">
        <v>583</v>
      </c>
      <c r="C36" s="16">
        <v>84</v>
      </c>
      <c r="D36" s="16">
        <v>296</v>
      </c>
      <c r="E36" s="16">
        <v>47</v>
      </c>
      <c r="F36"/>
      <c r="G36"/>
      <c r="H36"/>
    </row>
    <row r="37" spans="1:10" s="1" customFormat="1" x14ac:dyDescent="0.25">
      <c r="A37" s="6">
        <v>41913</v>
      </c>
      <c r="B37" s="18">
        <v>553</v>
      </c>
      <c r="C37" s="16">
        <v>99</v>
      </c>
      <c r="D37" s="16">
        <v>257</v>
      </c>
      <c r="E37" s="16">
        <v>41</v>
      </c>
      <c r="F37"/>
      <c r="G37"/>
      <c r="H37"/>
    </row>
    <row r="38" spans="1:10" s="1" customFormat="1" x14ac:dyDescent="0.25">
      <c r="A38" s="6">
        <v>41944</v>
      </c>
      <c r="B38" s="18">
        <v>476</v>
      </c>
      <c r="C38" s="16">
        <v>57</v>
      </c>
      <c r="D38" s="16">
        <v>239</v>
      </c>
      <c r="E38" s="16">
        <v>39</v>
      </c>
      <c r="F38"/>
      <c r="G38"/>
      <c r="H38"/>
    </row>
    <row r="39" spans="1:10" s="1" customFormat="1" x14ac:dyDescent="0.25">
      <c r="A39" s="6">
        <v>41974</v>
      </c>
      <c r="B39" s="18">
        <v>475</v>
      </c>
      <c r="C39" s="16">
        <v>77</v>
      </c>
      <c r="D39" s="16">
        <v>210</v>
      </c>
      <c r="E39" s="16">
        <v>33</v>
      </c>
      <c r="F39"/>
      <c r="G39"/>
      <c r="H39"/>
    </row>
    <row r="40" spans="1:10" s="1" customFormat="1" x14ac:dyDescent="0.25">
      <c r="A40" s="6">
        <v>42005</v>
      </c>
      <c r="B40" s="18">
        <v>469</v>
      </c>
      <c r="C40" s="16">
        <v>65</v>
      </c>
      <c r="D40" s="16">
        <v>214</v>
      </c>
      <c r="E40" s="16">
        <v>46</v>
      </c>
      <c r="F40"/>
      <c r="G40"/>
      <c r="H40"/>
    </row>
    <row r="41" spans="1:10" s="1" customFormat="1" x14ac:dyDescent="0.25">
      <c r="A41" s="6">
        <v>42036</v>
      </c>
      <c r="B41" s="18">
        <v>454</v>
      </c>
      <c r="C41" s="16">
        <v>69</v>
      </c>
      <c r="D41" s="16">
        <v>185</v>
      </c>
      <c r="E41" s="16">
        <v>10</v>
      </c>
      <c r="F41"/>
      <c r="G41"/>
      <c r="H41"/>
    </row>
    <row r="42" spans="1:10" s="1" customFormat="1" x14ac:dyDescent="0.25">
      <c r="A42" s="6">
        <v>42064</v>
      </c>
      <c r="B42" s="18">
        <v>485</v>
      </c>
      <c r="C42" s="16">
        <v>78</v>
      </c>
      <c r="D42" s="16">
        <v>188</v>
      </c>
      <c r="E42" s="16">
        <v>37</v>
      </c>
      <c r="F42"/>
      <c r="G42"/>
      <c r="H42"/>
    </row>
    <row r="43" spans="1:10" s="1" customFormat="1" x14ac:dyDescent="0.25">
      <c r="A43" s="6">
        <v>42095</v>
      </c>
      <c r="B43" s="18">
        <v>483</v>
      </c>
      <c r="C43" s="16">
        <v>74</v>
      </c>
      <c r="D43" s="16">
        <v>200</v>
      </c>
      <c r="E43" s="16">
        <v>50</v>
      </c>
      <c r="F43"/>
      <c r="G43"/>
      <c r="H43"/>
    </row>
    <row r="44" spans="1:10" s="1" customFormat="1" x14ac:dyDescent="0.25">
      <c r="A44" s="6">
        <v>42125</v>
      </c>
      <c r="B44" s="18">
        <v>494</v>
      </c>
      <c r="C44" s="16">
        <v>87</v>
      </c>
      <c r="D44" s="16">
        <v>194</v>
      </c>
      <c r="E44" s="16">
        <v>41</v>
      </c>
      <c r="F44"/>
      <c r="G44"/>
      <c r="H44"/>
      <c r="I44" s="16"/>
      <c r="J44" s="16"/>
    </row>
    <row r="45" spans="1:10" s="1" customFormat="1" x14ac:dyDescent="0.25">
      <c r="A45" s="6">
        <v>42156</v>
      </c>
      <c r="B45" s="18">
        <v>504</v>
      </c>
      <c r="C45" s="16">
        <v>98</v>
      </c>
      <c r="D45" s="16">
        <v>227</v>
      </c>
      <c r="E45" s="16">
        <v>71</v>
      </c>
      <c r="F45"/>
      <c r="G45"/>
      <c r="H45"/>
      <c r="I45" s="16"/>
      <c r="J45" s="16"/>
    </row>
    <row r="46" spans="1:10" s="1" customFormat="1" x14ac:dyDescent="0.25">
      <c r="A46" s="6">
        <v>42186</v>
      </c>
      <c r="B46" s="18">
        <v>502</v>
      </c>
      <c r="C46" s="16">
        <v>103</v>
      </c>
      <c r="D46" s="16">
        <v>242</v>
      </c>
      <c r="E46" s="16">
        <v>78</v>
      </c>
      <c r="F46"/>
      <c r="G46"/>
      <c r="H46"/>
      <c r="I46" s="16"/>
      <c r="J46" s="16"/>
    </row>
    <row r="47" spans="1:10" s="1" customFormat="1" x14ac:dyDescent="0.25">
      <c r="A47" s="6">
        <v>42217</v>
      </c>
      <c r="B47" s="18">
        <v>490</v>
      </c>
      <c r="C47" s="16">
        <v>87</v>
      </c>
      <c r="D47" s="16">
        <v>234</v>
      </c>
      <c r="E47" s="16">
        <v>55</v>
      </c>
      <c r="F47"/>
      <c r="G47"/>
      <c r="H47"/>
      <c r="I47" s="16"/>
      <c r="J47" s="16"/>
    </row>
    <row r="48" spans="1:10" s="1" customFormat="1" x14ac:dyDescent="0.25">
      <c r="A48" s="6">
        <v>42248</v>
      </c>
      <c r="B48" s="18">
        <v>477</v>
      </c>
      <c r="C48" s="16">
        <v>80</v>
      </c>
      <c r="D48" s="16">
        <v>228</v>
      </c>
      <c r="E48" s="16">
        <v>40</v>
      </c>
      <c r="F48"/>
      <c r="G48"/>
      <c r="H48"/>
      <c r="I48" s="16"/>
      <c r="J48" s="16"/>
    </row>
    <row r="49" spans="1:5" x14ac:dyDescent="0.25">
      <c r="A49" s="6">
        <v>42278</v>
      </c>
      <c r="B49" s="18">
        <v>512</v>
      </c>
      <c r="C49" s="18">
        <v>78</v>
      </c>
      <c r="D49" s="20">
        <v>218</v>
      </c>
      <c r="E49" s="18">
        <v>37</v>
      </c>
    </row>
    <row r="50" spans="1:5" x14ac:dyDescent="0.25">
      <c r="A50" s="6">
        <v>42309</v>
      </c>
      <c r="B50" s="18">
        <v>497</v>
      </c>
      <c r="C50" s="18">
        <v>66</v>
      </c>
      <c r="D50" s="20">
        <v>99</v>
      </c>
      <c r="E50" s="18">
        <v>29</v>
      </c>
    </row>
    <row r="51" spans="1:5" x14ac:dyDescent="0.25">
      <c r="A51" s="6">
        <v>42339</v>
      </c>
      <c r="B51" s="18">
        <v>412</v>
      </c>
      <c r="C51" s="18">
        <v>58</v>
      </c>
      <c r="D51" s="20">
        <v>101</v>
      </c>
      <c r="E51" s="18">
        <v>43</v>
      </c>
    </row>
    <row r="52" spans="1:5" customFormat="1" x14ac:dyDescent="0.25">
      <c r="A52" s="17"/>
      <c r="B52" s="14"/>
      <c r="C52" s="14"/>
      <c r="D52" s="14"/>
      <c r="E52" s="14"/>
    </row>
    <row r="53" spans="1:5" customFormat="1" x14ac:dyDescent="0.25">
      <c r="A53" s="19" t="s">
        <v>6</v>
      </c>
      <c r="B53" s="24">
        <f>AVERAGE(OrlandoEnquiries)</f>
        <v>560.20833333333337</v>
      </c>
      <c r="C53" s="24">
        <f>AVERAGE(OrlandoPolicies)</f>
        <v>113.5625</v>
      </c>
      <c r="D53" s="24">
        <f>AVERAGE(TampaEnquiries)</f>
        <v>236.5</v>
      </c>
      <c r="E53" s="24">
        <f>AVERAGE(TampaPolicies)</f>
        <v>60.0625</v>
      </c>
    </row>
    <row r="54" spans="1:5" customFormat="1" x14ac:dyDescent="0.25">
      <c r="A54" s="19" t="s">
        <v>7</v>
      </c>
      <c r="B54" s="24">
        <f>_xlfn.STDEV.P(OrlandoEnquiries)</f>
        <v>64.44408375138525</v>
      </c>
      <c r="C54" s="24">
        <f>_xlfn.STDEV.P(OrlandoPolicies)</f>
        <v>34.266058431291256</v>
      </c>
      <c r="D54" s="24">
        <f>_xlfn.STDEV.P(TampaEnquiries)</f>
        <v>49.23836580012243</v>
      </c>
      <c r="E54" s="24">
        <f>_xlfn.STDEV.P(TampaPolicies)</f>
        <v>22.335888768601382</v>
      </c>
    </row>
    <row r="55" spans="1:5" customFormat="1" x14ac:dyDescent="0.25">
      <c r="A55" s="19" t="s">
        <v>8</v>
      </c>
      <c r="B55" s="23">
        <f>_xlfn.QUARTILE.INC(OrlandoEnquiries,1)</f>
        <v>497.75</v>
      </c>
      <c r="C55" s="23">
        <f>_xlfn.QUARTILE.INC(OrlandoPolicies,1)</f>
        <v>86.25</v>
      </c>
      <c r="D55" s="23">
        <f>_xlfn.QUARTILE.INC(TampaEnquiries,1)</f>
        <v>211.5</v>
      </c>
      <c r="E55" s="23">
        <f>_xlfn.QUARTILE.INC(TampaPolicies,1)</f>
        <v>42.5</v>
      </c>
    </row>
    <row r="56" spans="1:5" x14ac:dyDescent="0.25">
      <c r="A56" s="21" t="s">
        <v>9</v>
      </c>
      <c r="B56" s="22">
        <f>_xlfn.QUARTILE.INC(OrlandoEnquiries,3)</f>
        <v>612.5</v>
      </c>
      <c r="C56" s="22">
        <f>_xlfn.QUARTILE.INC(OrlandoPolicies,3)</f>
        <v>139.25</v>
      </c>
      <c r="D56" s="22">
        <f>_xlfn.QUARTILE.INC(TampaEnquiries,3)</f>
        <v>268.75</v>
      </c>
      <c r="E56" s="22">
        <f>_xlfn.QUARTILE.INC(TampaPolicies,3)</f>
        <v>77.25</v>
      </c>
    </row>
    <row r="57" spans="1:5" x14ac:dyDescent="0.25">
      <c r="A57" s="21" t="s">
        <v>3</v>
      </c>
      <c r="B57" s="22">
        <f>B56-B55</f>
        <v>114.75</v>
      </c>
      <c r="C57" s="22">
        <f t="shared" ref="C57:E57" si="0">C56-C55</f>
        <v>53</v>
      </c>
      <c r="D57" s="22">
        <f t="shared" si="0"/>
        <v>57.25</v>
      </c>
      <c r="E57" s="22">
        <f t="shared" si="0"/>
        <v>34.75</v>
      </c>
    </row>
    <row r="58" spans="1:5" x14ac:dyDescent="0.25">
      <c r="A58" s="21" t="s">
        <v>10</v>
      </c>
      <c r="B58" s="25">
        <f>B57/2</f>
        <v>57.375</v>
      </c>
      <c r="C58" s="25">
        <f t="shared" ref="C58:E58" si="1">C57/2</f>
        <v>26.5</v>
      </c>
      <c r="D58" s="25">
        <f t="shared" si="1"/>
        <v>28.625</v>
      </c>
      <c r="E58" s="25">
        <f t="shared" si="1"/>
        <v>17.375</v>
      </c>
    </row>
    <row r="59" spans="1:5" x14ac:dyDescent="0.25">
      <c r="A59" s="7"/>
      <c r="B59" s="15"/>
      <c r="C59" s="15"/>
      <c r="D59" s="15"/>
      <c r="E59" s="15"/>
    </row>
    <row r="60" spans="1:5" x14ac:dyDescent="0.25">
      <c r="A60" s="7"/>
      <c r="B60" s="15"/>
      <c r="C60" s="15"/>
      <c r="D60" s="15"/>
      <c r="E60" s="15"/>
    </row>
    <row r="61" spans="1:5" x14ac:dyDescent="0.25">
      <c r="A61" s="7"/>
      <c r="B61" s="15"/>
      <c r="C61" s="15"/>
      <c r="D61" s="15"/>
      <c r="E61" s="15"/>
    </row>
    <row r="62" spans="1:5" x14ac:dyDescent="0.25">
      <c r="A62" s="7"/>
      <c r="B62" s="15"/>
      <c r="C62" s="15"/>
      <c r="D62" s="15"/>
      <c r="E62" s="15"/>
    </row>
    <row r="63" spans="1:5" x14ac:dyDescent="0.25">
      <c r="A63" s="7"/>
      <c r="B63" s="15"/>
      <c r="C63" s="15"/>
      <c r="D63" s="15"/>
      <c r="E63" s="15"/>
    </row>
    <row r="64" spans="1:5" x14ac:dyDescent="0.25">
      <c r="A64" s="7"/>
      <c r="B64" s="15"/>
      <c r="C64" s="15"/>
      <c r="D64" s="15"/>
      <c r="E64" s="15"/>
    </row>
    <row r="65" spans="1:5" x14ac:dyDescent="0.25">
      <c r="A65" s="7"/>
      <c r="B65" s="15"/>
      <c r="C65" s="15"/>
      <c r="D65" s="15"/>
      <c r="E65" s="15"/>
    </row>
    <row r="66" spans="1:5" x14ac:dyDescent="0.25">
      <c r="A66" s="7"/>
      <c r="B66" s="15"/>
      <c r="C66" s="15"/>
      <c r="D66" s="15"/>
      <c r="E66" s="15"/>
    </row>
    <row r="67" spans="1:5" x14ac:dyDescent="0.25">
      <c r="A67" s="7"/>
      <c r="B67" s="15"/>
      <c r="C67" s="15"/>
      <c r="D67" s="15"/>
      <c r="E67" s="15"/>
    </row>
    <row r="68" spans="1:5" x14ac:dyDescent="0.25">
      <c r="A68" s="7"/>
      <c r="B68" s="15"/>
      <c r="C68" s="15"/>
      <c r="D68" s="15"/>
      <c r="E68" s="15"/>
    </row>
    <row r="69" spans="1:5" x14ac:dyDescent="0.25">
      <c r="A69" s="7"/>
      <c r="B69" s="15"/>
      <c r="C69" s="15"/>
      <c r="D69" s="15"/>
      <c r="E69" s="15"/>
    </row>
    <row r="70" spans="1:5" x14ac:dyDescent="0.25">
      <c r="A70" s="7"/>
      <c r="B70" s="15"/>
      <c r="C70" s="15"/>
      <c r="D70" s="15"/>
      <c r="E70" s="15"/>
    </row>
    <row r="71" spans="1:5" x14ac:dyDescent="0.25">
      <c r="A71" s="7"/>
      <c r="B71" s="15"/>
      <c r="C71" s="15"/>
      <c r="D71" s="15"/>
      <c r="E71" s="15"/>
    </row>
    <row r="72" spans="1:5" x14ac:dyDescent="0.25">
      <c r="A72" s="7"/>
      <c r="B72" s="15"/>
      <c r="C72" s="15"/>
      <c r="D72" s="15"/>
      <c r="E72" s="15"/>
    </row>
    <row r="73" spans="1:5" x14ac:dyDescent="0.25">
      <c r="A73" s="7"/>
      <c r="B73" s="15"/>
      <c r="C73" s="15"/>
      <c r="D73" s="15"/>
      <c r="E73" s="15"/>
    </row>
    <row r="74" spans="1:5" x14ac:dyDescent="0.25">
      <c r="A74" s="7"/>
      <c r="B74" s="15"/>
      <c r="C74" s="15"/>
      <c r="D74" s="15"/>
      <c r="E74" s="15"/>
    </row>
    <row r="75" spans="1:5" x14ac:dyDescent="0.25">
      <c r="A75" s="7"/>
      <c r="B75" s="15"/>
      <c r="C75" s="15"/>
      <c r="D75" s="15"/>
      <c r="E75" s="15"/>
    </row>
    <row r="76" spans="1:5" x14ac:dyDescent="0.25">
      <c r="A76" s="7"/>
      <c r="B76" s="15"/>
      <c r="C76" s="15"/>
      <c r="D76" s="15"/>
      <c r="E76" s="15"/>
    </row>
    <row r="77" spans="1:5" x14ac:dyDescent="0.25">
      <c r="A77" s="7"/>
      <c r="B77" s="15"/>
      <c r="C77" s="15"/>
      <c r="D77" s="15"/>
      <c r="E77" s="15"/>
    </row>
    <row r="78" spans="1:5" x14ac:dyDescent="0.25">
      <c r="A78" s="7"/>
      <c r="B78" s="15"/>
      <c r="C78" s="15"/>
      <c r="D78" s="15"/>
      <c r="E78" s="15"/>
    </row>
    <row r="79" spans="1:5" x14ac:dyDescent="0.25">
      <c r="A79" s="7"/>
      <c r="B79" s="15"/>
      <c r="C79" s="15"/>
      <c r="D79" s="15"/>
      <c r="E79" s="15"/>
    </row>
    <row r="80" spans="1:5" x14ac:dyDescent="0.25">
      <c r="A80" s="7"/>
      <c r="B80" s="15"/>
      <c r="C80" s="15"/>
      <c r="D80" s="15"/>
      <c r="E80" s="15"/>
    </row>
    <row r="81" spans="1:5" x14ac:dyDescent="0.25">
      <c r="A81" s="7"/>
      <c r="B81" s="15"/>
      <c r="C81" s="15"/>
      <c r="D81" s="15"/>
      <c r="E81" s="15"/>
    </row>
    <row r="82" spans="1:5" x14ac:dyDescent="0.25">
      <c r="A82" s="7"/>
      <c r="B82" s="15"/>
      <c r="C82" s="15"/>
      <c r="D82" s="15"/>
      <c r="E82" s="15"/>
    </row>
    <row r="83" spans="1:5" x14ac:dyDescent="0.25">
      <c r="A83" s="7"/>
      <c r="B83" s="15"/>
      <c r="C83" s="15"/>
      <c r="D83" s="15"/>
      <c r="E83" s="15"/>
    </row>
    <row r="84" spans="1:5" x14ac:dyDescent="0.25">
      <c r="A84" s="7"/>
      <c r="B84" s="15"/>
      <c r="C84" s="15"/>
      <c r="D84" s="15"/>
      <c r="E84" s="15"/>
    </row>
    <row r="85" spans="1:5" x14ac:dyDescent="0.25">
      <c r="A85" s="7"/>
      <c r="B85" s="15"/>
      <c r="C85" s="15"/>
      <c r="D85" s="15"/>
      <c r="E85" s="15"/>
    </row>
    <row r="86" spans="1:5" x14ac:dyDescent="0.25">
      <c r="A86" s="7"/>
      <c r="B86" s="15"/>
      <c r="C86" s="15"/>
      <c r="D86" s="15"/>
      <c r="E86" s="15"/>
    </row>
    <row r="87" spans="1:5" x14ac:dyDescent="0.25">
      <c r="A87" s="7"/>
      <c r="B87" s="15"/>
      <c r="C87" s="15"/>
      <c r="D87" s="15"/>
      <c r="E87" s="15"/>
    </row>
    <row r="88" spans="1:5" x14ac:dyDescent="0.25">
      <c r="A88" s="7"/>
      <c r="B88" s="15"/>
      <c r="C88" s="15"/>
      <c r="D88" s="15"/>
      <c r="E88" s="15"/>
    </row>
    <row r="89" spans="1:5" x14ac:dyDescent="0.25">
      <c r="A89" s="7"/>
      <c r="B89" s="15"/>
      <c r="C89" s="15"/>
      <c r="D89" s="15"/>
      <c r="E89" s="15"/>
    </row>
    <row r="90" spans="1:5" x14ac:dyDescent="0.25">
      <c r="A90" s="7"/>
      <c r="B90" s="15"/>
      <c r="C90" s="15"/>
      <c r="D90" s="15"/>
      <c r="E90" s="15"/>
    </row>
    <row r="91" spans="1:5" x14ac:dyDescent="0.25">
      <c r="A91" s="7"/>
      <c r="B91" s="15"/>
      <c r="C91" s="15"/>
      <c r="D91" s="15"/>
      <c r="E91" s="15"/>
    </row>
    <row r="92" spans="1:5" x14ac:dyDescent="0.25">
      <c r="A92" s="7"/>
      <c r="B92" s="15"/>
      <c r="C92" s="15"/>
      <c r="D92" s="15"/>
      <c r="E92" s="15"/>
    </row>
    <row r="93" spans="1:5" x14ac:dyDescent="0.25">
      <c r="A93" s="7"/>
      <c r="B93" s="15"/>
      <c r="C93" s="15"/>
      <c r="D93" s="15"/>
      <c r="E93" s="15"/>
    </row>
    <row r="94" spans="1:5" x14ac:dyDescent="0.25">
      <c r="A94" s="7"/>
      <c r="B94" s="15"/>
      <c r="C94" s="15"/>
      <c r="D94" s="15"/>
      <c r="E94" s="15"/>
    </row>
    <row r="95" spans="1:5" x14ac:dyDescent="0.25">
      <c r="A95" s="7"/>
      <c r="B95" s="15"/>
      <c r="C95" s="15"/>
      <c r="D95" s="15"/>
      <c r="E95" s="15"/>
    </row>
    <row r="96" spans="1:5" x14ac:dyDescent="0.25">
      <c r="A96" s="7"/>
      <c r="B96" s="15"/>
      <c r="C96" s="15"/>
      <c r="D96" s="15"/>
      <c r="E96" s="15"/>
    </row>
    <row r="97" spans="1:5" x14ac:dyDescent="0.25">
      <c r="A97" s="7"/>
      <c r="B97" s="15"/>
      <c r="C97" s="15"/>
      <c r="D97" s="15"/>
      <c r="E97" s="15"/>
    </row>
    <row r="98" spans="1:5" x14ac:dyDescent="0.25">
      <c r="A98" s="7"/>
      <c r="B98" s="15"/>
      <c r="C98" s="15"/>
      <c r="D98" s="15"/>
      <c r="E98" s="15"/>
    </row>
    <row r="99" spans="1:5" x14ac:dyDescent="0.25">
      <c r="B99" s="15"/>
      <c r="C99" s="15"/>
      <c r="D99" s="15"/>
      <c r="E99" s="15"/>
    </row>
    <row r="100" spans="1:5" x14ac:dyDescent="0.25">
      <c r="B100" s="15"/>
      <c r="C100" s="15"/>
      <c r="D100" s="15"/>
      <c r="E100" s="15"/>
    </row>
    <row r="101" spans="1:5" x14ac:dyDescent="0.25">
      <c r="B101" s="15"/>
      <c r="C101" s="15"/>
      <c r="D101" s="15"/>
      <c r="E101" s="15"/>
    </row>
    <row r="102" spans="1:5" x14ac:dyDescent="0.25">
      <c r="B102" s="15"/>
      <c r="C102" s="15"/>
      <c r="D102" s="15"/>
      <c r="E102" s="15"/>
    </row>
    <row r="103" spans="1:5" x14ac:dyDescent="0.25">
      <c r="B103" s="15"/>
      <c r="C103" s="15"/>
      <c r="D103" s="15"/>
      <c r="E103" s="15"/>
    </row>
    <row r="104" spans="1:5" x14ac:dyDescent="0.25">
      <c r="B104" s="15"/>
      <c r="C104" s="15"/>
      <c r="D104" s="15"/>
      <c r="E104" s="15"/>
    </row>
    <row r="105" spans="1:5" x14ac:dyDescent="0.25">
      <c r="B105" s="15"/>
      <c r="C105" s="15"/>
      <c r="D105" s="15"/>
      <c r="E105" s="15"/>
    </row>
    <row r="106" spans="1:5" x14ac:dyDescent="0.25">
      <c r="B106" s="15"/>
      <c r="C106" s="15"/>
      <c r="D106" s="15"/>
      <c r="E106" s="15"/>
    </row>
    <row r="107" spans="1:5" x14ac:dyDescent="0.25">
      <c r="B107" s="15"/>
      <c r="C107" s="15"/>
      <c r="D107" s="15"/>
      <c r="E107" s="15"/>
    </row>
    <row r="108" spans="1:5" x14ac:dyDescent="0.25">
      <c r="B108" s="15"/>
      <c r="C108" s="15"/>
      <c r="D108" s="15"/>
      <c r="E108" s="15"/>
    </row>
    <row r="109" spans="1:5" x14ac:dyDescent="0.25">
      <c r="B109" s="15"/>
      <c r="C109" s="15"/>
      <c r="D109" s="15"/>
      <c r="E109" s="15"/>
    </row>
    <row r="110" spans="1:5" x14ac:dyDescent="0.25">
      <c r="B110" s="15"/>
      <c r="C110" s="15"/>
      <c r="D110" s="15"/>
      <c r="E110" s="15"/>
    </row>
    <row r="111" spans="1:5" x14ac:dyDescent="0.25">
      <c r="B111" s="15"/>
      <c r="C111" s="15"/>
      <c r="D111" s="15"/>
      <c r="E111" s="15"/>
    </row>
    <row r="112" spans="1:5" x14ac:dyDescent="0.25">
      <c r="B112" s="15"/>
      <c r="C112" s="15"/>
      <c r="D112" s="15"/>
      <c r="E112" s="15"/>
    </row>
    <row r="113" spans="2:5" x14ac:dyDescent="0.25">
      <c r="B113" s="15"/>
      <c r="C113" s="15"/>
      <c r="D113" s="15"/>
      <c r="E113" s="15"/>
    </row>
    <row r="114" spans="2:5" x14ac:dyDescent="0.25">
      <c r="B114" s="15"/>
      <c r="C114" s="15"/>
      <c r="D114" s="15"/>
      <c r="E114" s="15"/>
    </row>
    <row r="115" spans="2:5" x14ac:dyDescent="0.25">
      <c r="B115" s="15"/>
      <c r="C115" s="15"/>
      <c r="D115" s="15"/>
      <c r="E115" s="15"/>
    </row>
    <row r="116" spans="2:5" x14ac:dyDescent="0.25">
      <c r="B116" s="15"/>
      <c r="C116" s="15"/>
      <c r="D116" s="15"/>
      <c r="E116" s="15"/>
    </row>
    <row r="117" spans="2:5" x14ac:dyDescent="0.25">
      <c r="B117" s="15"/>
      <c r="C117" s="15"/>
      <c r="D117" s="15"/>
      <c r="E117" s="15"/>
    </row>
    <row r="118" spans="2:5" x14ac:dyDescent="0.25">
      <c r="B118" s="15"/>
      <c r="C118" s="15"/>
      <c r="D118" s="15"/>
      <c r="E118" s="15"/>
    </row>
    <row r="119" spans="2:5" x14ac:dyDescent="0.25">
      <c r="B119" s="15"/>
      <c r="C119" s="15"/>
      <c r="D119" s="15"/>
      <c r="E119" s="15"/>
    </row>
    <row r="120" spans="2:5" x14ac:dyDescent="0.25">
      <c r="B120" s="15"/>
      <c r="C120" s="15"/>
      <c r="D120" s="15"/>
      <c r="E120" s="15"/>
    </row>
    <row r="121" spans="2:5" x14ac:dyDescent="0.25">
      <c r="B121" s="15"/>
      <c r="C121" s="15"/>
      <c r="D121" s="15"/>
      <c r="E121" s="15"/>
    </row>
    <row r="122" spans="2:5" x14ac:dyDescent="0.25">
      <c r="B122" s="15"/>
      <c r="C122" s="15"/>
      <c r="D122" s="15"/>
      <c r="E122" s="15"/>
    </row>
    <row r="123" spans="2:5" x14ac:dyDescent="0.25">
      <c r="B123" s="15"/>
      <c r="C123" s="15"/>
      <c r="D123" s="15"/>
      <c r="E123" s="15"/>
    </row>
    <row r="124" spans="2:5" x14ac:dyDescent="0.25">
      <c r="B124" s="15"/>
      <c r="C124" s="15"/>
      <c r="D124" s="15"/>
      <c r="E124" s="15"/>
    </row>
    <row r="125" spans="2:5" x14ac:dyDescent="0.25">
      <c r="B125" s="15"/>
      <c r="C125" s="15"/>
      <c r="D125" s="15"/>
      <c r="E125" s="15"/>
    </row>
    <row r="126" spans="2:5" x14ac:dyDescent="0.25">
      <c r="B126" s="15"/>
      <c r="C126" s="15"/>
      <c r="D126" s="15"/>
      <c r="E126" s="15"/>
    </row>
    <row r="127" spans="2:5" x14ac:dyDescent="0.25">
      <c r="B127" s="15"/>
      <c r="C127" s="15"/>
      <c r="D127" s="15"/>
      <c r="E127" s="15"/>
    </row>
    <row r="128" spans="2:5" x14ac:dyDescent="0.25">
      <c r="B128" s="15"/>
      <c r="C128" s="15"/>
      <c r="D128" s="15"/>
      <c r="E128" s="15"/>
    </row>
    <row r="129" spans="2:5" x14ac:dyDescent="0.25">
      <c r="B129" s="15"/>
      <c r="C129" s="15"/>
      <c r="D129" s="15"/>
      <c r="E129" s="15"/>
    </row>
    <row r="130" spans="2:5" x14ac:dyDescent="0.25">
      <c r="B130" s="15"/>
      <c r="C130" s="15"/>
      <c r="D130" s="15"/>
      <c r="E130" s="15"/>
    </row>
    <row r="131" spans="2:5" x14ac:dyDescent="0.25">
      <c r="B131" s="15"/>
      <c r="C131" s="15"/>
      <c r="D131" s="15"/>
      <c r="E131" s="15"/>
    </row>
    <row r="132" spans="2:5" x14ac:dyDescent="0.25">
      <c r="B132" s="15"/>
      <c r="C132" s="15"/>
      <c r="D132" s="15"/>
      <c r="E132" s="15"/>
    </row>
    <row r="133" spans="2:5" x14ac:dyDescent="0.25">
      <c r="B133" s="15"/>
      <c r="C133" s="15"/>
      <c r="D133" s="15"/>
      <c r="E133" s="15"/>
    </row>
    <row r="134" spans="2:5" x14ac:dyDescent="0.25">
      <c r="B134" s="15"/>
      <c r="C134" s="15"/>
      <c r="D134" s="15"/>
      <c r="E134" s="15"/>
    </row>
    <row r="135" spans="2:5" x14ac:dyDescent="0.25">
      <c r="B135" s="15"/>
      <c r="C135" s="15"/>
      <c r="D135" s="15"/>
      <c r="E135" s="15"/>
    </row>
    <row r="136" spans="2:5" x14ac:dyDescent="0.25">
      <c r="B136" s="15"/>
      <c r="C136" s="15"/>
      <c r="D136" s="15"/>
      <c r="E136" s="15"/>
    </row>
    <row r="137" spans="2:5" x14ac:dyDescent="0.25">
      <c r="B137" s="15"/>
      <c r="C137" s="15"/>
      <c r="D137" s="15"/>
      <c r="E137" s="15"/>
    </row>
    <row r="138" spans="2:5" x14ac:dyDescent="0.25">
      <c r="B138" s="15"/>
      <c r="C138" s="15"/>
      <c r="D138" s="15"/>
      <c r="E138" s="15"/>
    </row>
    <row r="139" spans="2:5" x14ac:dyDescent="0.25">
      <c r="B139" s="15"/>
      <c r="C139" s="15"/>
      <c r="D139" s="15"/>
      <c r="E139" s="15"/>
    </row>
    <row r="140" spans="2:5" x14ac:dyDescent="0.25">
      <c r="B140" s="15"/>
      <c r="C140" s="15"/>
      <c r="D140" s="15"/>
      <c r="E140" s="15"/>
    </row>
    <row r="141" spans="2:5" x14ac:dyDescent="0.25">
      <c r="B141" s="15"/>
      <c r="C141" s="15"/>
      <c r="D141" s="15"/>
      <c r="E141" s="15"/>
    </row>
    <row r="142" spans="2:5" x14ac:dyDescent="0.25">
      <c r="B142" s="15"/>
      <c r="C142" s="15"/>
      <c r="D142" s="15"/>
      <c r="E142" s="15"/>
    </row>
    <row r="143" spans="2:5" x14ac:dyDescent="0.25">
      <c r="B143" s="15"/>
      <c r="C143" s="15"/>
      <c r="D143" s="15"/>
      <c r="E143" s="15"/>
    </row>
    <row r="144" spans="2:5" x14ac:dyDescent="0.25">
      <c r="B144" s="15"/>
      <c r="C144" s="15"/>
      <c r="D144" s="15"/>
      <c r="E144" s="15"/>
    </row>
    <row r="145" spans="2:5" x14ac:dyDescent="0.25">
      <c r="B145" s="15"/>
      <c r="C145" s="15"/>
      <c r="D145" s="15"/>
      <c r="E145" s="15"/>
    </row>
    <row r="146" spans="2:5" x14ac:dyDescent="0.25">
      <c r="B146" s="15"/>
      <c r="C146" s="15"/>
      <c r="D146" s="15"/>
      <c r="E146" s="15"/>
    </row>
    <row r="147" spans="2:5" x14ac:dyDescent="0.25">
      <c r="B147" s="15"/>
      <c r="C147" s="15"/>
      <c r="D147" s="15"/>
      <c r="E147" s="15"/>
    </row>
    <row r="148" spans="2:5" x14ac:dyDescent="0.25">
      <c r="B148" s="15"/>
      <c r="C148" s="15"/>
      <c r="D148" s="15"/>
      <c r="E148" s="15"/>
    </row>
    <row r="149" spans="2:5" x14ac:dyDescent="0.25">
      <c r="B149" s="15"/>
      <c r="C149" s="15"/>
      <c r="D149" s="15"/>
      <c r="E149" s="15"/>
    </row>
    <row r="150" spans="2:5" x14ac:dyDescent="0.25">
      <c r="B150" s="15"/>
      <c r="C150" s="15"/>
      <c r="D150" s="15"/>
      <c r="E150" s="15"/>
    </row>
    <row r="151" spans="2:5" x14ac:dyDescent="0.25">
      <c r="B151" s="15"/>
      <c r="C151" s="15"/>
      <c r="D151" s="15"/>
      <c r="E151" s="15"/>
    </row>
    <row r="152" spans="2:5" x14ac:dyDescent="0.25">
      <c r="B152" s="15"/>
      <c r="C152" s="15"/>
      <c r="D152" s="15"/>
      <c r="E152" s="15"/>
    </row>
    <row r="153" spans="2:5" x14ac:dyDescent="0.25">
      <c r="B153" s="15"/>
      <c r="C153" s="15"/>
      <c r="D153" s="15"/>
      <c r="E153" s="15"/>
    </row>
    <row r="154" spans="2:5" x14ac:dyDescent="0.25">
      <c r="B154" s="15"/>
      <c r="C154" s="15"/>
      <c r="D154" s="15"/>
      <c r="E154" s="15"/>
    </row>
    <row r="155" spans="2:5" x14ac:dyDescent="0.25">
      <c r="B155" s="15"/>
      <c r="C155" s="15"/>
      <c r="D155" s="15"/>
      <c r="E155" s="15"/>
    </row>
    <row r="156" spans="2:5" x14ac:dyDescent="0.25">
      <c r="B156" s="15"/>
      <c r="C156" s="15"/>
      <c r="D156" s="15"/>
      <c r="E156" s="15"/>
    </row>
    <row r="157" spans="2:5" x14ac:dyDescent="0.25">
      <c r="B157" s="15"/>
      <c r="C157" s="15"/>
      <c r="D157" s="15"/>
      <c r="E157" s="15"/>
    </row>
    <row r="158" spans="2:5" x14ac:dyDescent="0.25">
      <c r="B158" s="15"/>
      <c r="C158" s="15"/>
      <c r="D158" s="15"/>
      <c r="E158" s="15"/>
    </row>
    <row r="159" spans="2:5" x14ac:dyDescent="0.25">
      <c r="B159" s="15"/>
      <c r="C159" s="15"/>
      <c r="D159" s="15"/>
      <c r="E159" s="15"/>
    </row>
    <row r="160" spans="2:5" x14ac:dyDescent="0.25">
      <c r="B160" s="15"/>
      <c r="C160" s="15"/>
      <c r="D160" s="15"/>
      <c r="E160" s="15"/>
    </row>
    <row r="161" spans="2:5" x14ac:dyDescent="0.25">
      <c r="B161" s="15"/>
      <c r="C161" s="15"/>
      <c r="D161" s="15"/>
      <c r="E161" s="15"/>
    </row>
    <row r="162" spans="2:5" x14ac:dyDescent="0.25">
      <c r="B162" s="15"/>
      <c r="C162" s="15"/>
      <c r="D162" s="15"/>
      <c r="E162" s="15"/>
    </row>
    <row r="163" spans="2:5" x14ac:dyDescent="0.25">
      <c r="B163" s="15"/>
      <c r="C163" s="15"/>
      <c r="D163" s="15"/>
      <c r="E163" s="15"/>
    </row>
    <row r="164" spans="2:5" x14ac:dyDescent="0.25">
      <c r="B164" s="15"/>
      <c r="C164" s="15"/>
      <c r="D164" s="15"/>
      <c r="E164" s="15"/>
    </row>
    <row r="165" spans="2:5" x14ac:dyDescent="0.25">
      <c r="B165" s="15"/>
      <c r="C165" s="15"/>
      <c r="D165" s="15"/>
      <c r="E165" s="15"/>
    </row>
    <row r="166" spans="2:5" x14ac:dyDescent="0.25">
      <c r="B166" s="15"/>
      <c r="C166" s="15"/>
      <c r="D166" s="15"/>
      <c r="E166" s="15"/>
    </row>
    <row r="167" spans="2:5" x14ac:dyDescent="0.25">
      <c r="B167" s="15"/>
      <c r="C167" s="15"/>
      <c r="D167" s="15"/>
      <c r="E167" s="15"/>
    </row>
    <row r="168" spans="2:5" x14ac:dyDescent="0.25">
      <c r="B168" s="15"/>
      <c r="C168" s="15"/>
      <c r="D168" s="15"/>
      <c r="E168" s="15"/>
    </row>
    <row r="169" spans="2:5" x14ac:dyDescent="0.25">
      <c r="B169" s="15"/>
      <c r="C169" s="15"/>
      <c r="D169" s="15"/>
      <c r="E169" s="15"/>
    </row>
    <row r="170" spans="2:5" x14ac:dyDescent="0.25">
      <c r="B170" s="15"/>
      <c r="C170" s="15"/>
      <c r="D170" s="15"/>
      <c r="E170" s="15"/>
    </row>
    <row r="171" spans="2:5" x14ac:dyDescent="0.25">
      <c r="B171" s="15"/>
      <c r="C171" s="15"/>
      <c r="D171" s="15"/>
      <c r="E171" s="15"/>
    </row>
    <row r="172" spans="2:5" x14ac:dyDescent="0.25">
      <c r="B172" s="15"/>
      <c r="C172" s="15"/>
      <c r="D172" s="15"/>
      <c r="E172" s="15"/>
    </row>
    <row r="173" spans="2:5" x14ac:dyDescent="0.25">
      <c r="B173" s="15"/>
      <c r="C173" s="15"/>
      <c r="D173" s="15"/>
      <c r="E173" s="15"/>
    </row>
    <row r="174" spans="2:5" x14ac:dyDescent="0.25">
      <c r="B174" s="15"/>
      <c r="C174" s="15"/>
      <c r="D174" s="15"/>
      <c r="E174" s="15"/>
    </row>
    <row r="175" spans="2:5" x14ac:dyDescent="0.25">
      <c r="B175" s="15"/>
      <c r="C175" s="15"/>
      <c r="D175" s="15"/>
      <c r="E175" s="15"/>
    </row>
    <row r="176" spans="2:5" x14ac:dyDescent="0.25">
      <c r="B176" s="15"/>
      <c r="C176" s="15"/>
      <c r="D176" s="15"/>
      <c r="E176" s="15"/>
    </row>
    <row r="177" spans="2:5" x14ac:dyDescent="0.25">
      <c r="B177" s="15"/>
      <c r="C177" s="15"/>
      <c r="D177" s="15"/>
      <c r="E177" s="15"/>
    </row>
    <row r="178" spans="2:5" x14ac:dyDescent="0.25">
      <c r="B178" s="15"/>
      <c r="C178" s="15"/>
      <c r="D178" s="15"/>
      <c r="E178" s="15"/>
    </row>
    <row r="179" spans="2:5" x14ac:dyDescent="0.25">
      <c r="B179" s="15"/>
      <c r="C179" s="15"/>
      <c r="D179" s="15"/>
      <c r="E179" s="15"/>
    </row>
    <row r="180" spans="2:5" x14ac:dyDescent="0.25">
      <c r="B180" s="15"/>
      <c r="C180" s="15"/>
      <c r="D180" s="15"/>
      <c r="E180" s="15"/>
    </row>
    <row r="181" spans="2:5" x14ac:dyDescent="0.25">
      <c r="B181" s="15"/>
      <c r="C181" s="15"/>
      <c r="D181" s="15"/>
      <c r="E181" s="15"/>
    </row>
    <row r="182" spans="2:5" x14ac:dyDescent="0.25">
      <c r="B182" s="15"/>
      <c r="C182" s="15"/>
      <c r="D182" s="15"/>
      <c r="E182" s="15"/>
    </row>
    <row r="183" spans="2:5" x14ac:dyDescent="0.25">
      <c r="B183" s="15"/>
      <c r="C183" s="15"/>
      <c r="D183" s="15"/>
      <c r="E183" s="15"/>
    </row>
    <row r="184" spans="2:5" x14ac:dyDescent="0.25">
      <c r="B184" s="15"/>
      <c r="C184" s="15"/>
      <c r="D184" s="15"/>
      <c r="E184" s="15"/>
    </row>
    <row r="185" spans="2:5" x14ac:dyDescent="0.25">
      <c r="B185" s="15"/>
      <c r="C185" s="15"/>
      <c r="D185" s="15"/>
      <c r="E185" s="15"/>
    </row>
    <row r="186" spans="2:5" x14ac:dyDescent="0.25">
      <c r="B186" s="15"/>
      <c r="C186" s="15"/>
      <c r="D186" s="15"/>
      <c r="E186" s="15"/>
    </row>
    <row r="187" spans="2:5" x14ac:dyDescent="0.25">
      <c r="B187" s="15"/>
      <c r="C187" s="15"/>
      <c r="D187" s="15"/>
      <c r="E187" s="15"/>
    </row>
    <row r="188" spans="2:5" x14ac:dyDescent="0.25">
      <c r="B188" s="15"/>
      <c r="C188" s="15"/>
      <c r="D188" s="15"/>
      <c r="E188" s="15"/>
    </row>
    <row r="189" spans="2:5" x14ac:dyDescent="0.25">
      <c r="B189" s="15"/>
      <c r="C189" s="15"/>
      <c r="D189" s="15"/>
      <c r="E189" s="15"/>
    </row>
    <row r="190" spans="2:5" x14ac:dyDescent="0.25">
      <c r="B190" s="15"/>
      <c r="C190" s="15"/>
      <c r="D190" s="15"/>
      <c r="E190" s="15"/>
    </row>
    <row r="191" spans="2:5" x14ac:dyDescent="0.25">
      <c r="B191" s="15"/>
      <c r="C191" s="15"/>
      <c r="D191" s="15"/>
      <c r="E191" s="15"/>
    </row>
    <row r="192" spans="2:5" x14ac:dyDescent="0.25">
      <c r="B192" s="15"/>
      <c r="C192" s="15"/>
      <c r="D192" s="15"/>
      <c r="E192" s="15"/>
    </row>
    <row r="193" spans="2:5" x14ac:dyDescent="0.25">
      <c r="B193" s="15"/>
      <c r="C193" s="15"/>
      <c r="D193" s="15"/>
      <c r="E193" s="15"/>
    </row>
    <row r="194" spans="2:5" x14ac:dyDescent="0.25">
      <c r="B194" s="15"/>
      <c r="C194" s="15"/>
      <c r="D194" s="15"/>
      <c r="E194" s="15"/>
    </row>
    <row r="195" spans="2:5" x14ac:dyDescent="0.25">
      <c r="B195" s="15"/>
      <c r="C195" s="15"/>
      <c r="D195" s="15"/>
      <c r="E195" s="15"/>
    </row>
    <row r="196" spans="2:5" x14ac:dyDescent="0.25">
      <c r="B196" s="15"/>
      <c r="C196" s="15"/>
      <c r="D196" s="15"/>
      <c r="E196" s="15"/>
    </row>
    <row r="197" spans="2:5" x14ac:dyDescent="0.25">
      <c r="B197" s="15"/>
      <c r="C197" s="15"/>
      <c r="D197" s="15"/>
      <c r="E197" s="15"/>
    </row>
    <row r="198" spans="2:5" x14ac:dyDescent="0.25">
      <c r="B198" s="15"/>
      <c r="C198" s="15"/>
      <c r="D198" s="15"/>
      <c r="E198" s="15"/>
    </row>
    <row r="199" spans="2:5" x14ac:dyDescent="0.25">
      <c r="B199" s="15"/>
      <c r="C199" s="15"/>
      <c r="D199" s="15"/>
      <c r="E199" s="15"/>
    </row>
    <row r="200" spans="2:5" x14ac:dyDescent="0.25">
      <c r="B200" s="15"/>
      <c r="C200" s="15"/>
      <c r="D200" s="15"/>
      <c r="E200" s="15"/>
    </row>
    <row r="201" spans="2:5" x14ac:dyDescent="0.25">
      <c r="B201" s="15"/>
      <c r="C201" s="15"/>
      <c r="D201" s="15"/>
      <c r="E201" s="15"/>
    </row>
    <row r="202" spans="2:5" x14ac:dyDescent="0.25">
      <c r="B202" s="15"/>
      <c r="C202" s="15"/>
      <c r="D202" s="15"/>
      <c r="E202" s="15"/>
    </row>
    <row r="203" spans="2:5" x14ac:dyDescent="0.25">
      <c r="B203" s="15"/>
      <c r="C203" s="15"/>
      <c r="D203" s="15"/>
      <c r="E203" s="15"/>
    </row>
    <row r="204" spans="2:5" x14ac:dyDescent="0.25">
      <c r="B204" s="15"/>
      <c r="C204" s="15"/>
      <c r="D204" s="15"/>
      <c r="E204" s="15"/>
    </row>
    <row r="205" spans="2:5" x14ac:dyDescent="0.25">
      <c r="B205" s="15"/>
      <c r="C205" s="15"/>
      <c r="D205" s="15"/>
      <c r="E205" s="15"/>
    </row>
    <row r="206" spans="2:5" x14ac:dyDescent="0.25">
      <c r="B206" s="15"/>
      <c r="C206" s="15"/>
      <c r="D206" s="15"/>
      <c r="E206" s="15"/>
    </row>
    <row r="207" spans="2:5" x14ac:dyDescent="0.25">
      <c r="B207" s="15"/>
      <c r="C207" s="15"/>
      <c r="D207" s="15"/>
      <c r="E207" s="15"/>
    </row>
    <row r="208" spans="2:5" x14ac:dyDescent="0.25">
      <c r="B208" s="15"/>
      <c r="C208" s="15"/>
      <c r="D208" s="15"/>
      <c r="E208" s="15"/>
    </row>
    <row r="209" spans="2:5" x14ac:dyDescent="0.25">
      <c r="B209" s="15"/>
      <c r="C209" s="15"/>
      <c r="D209" s="15"/>
      <c r="E209" s="15"/>
    </row>
    <row r="210" spans="2:5" x14ac:dyDescent="0.25">
      <c r="B210" s="15"/>
      <c r="C210" s="15"/>
      <c r="D210" s="15"/>
      <c r="E210" s="15"/>
    </row>
    <row r="211" spans="2:5" x14ac:dyDescent="0.25">
      <c r="B211" s="15"/>
      <c r="C211" s="15"/>
      <c r="D211" s="15"/>
      <c r="E211" s="15"/>
    </row>
    <row r="212" spans="2:5" x14ac:dyDescent="0.25">
      <c r="B212" s="15"/>
      <c r="C212" s="15"/>
      <c r="D212" s="15"/>
      <c r="E212" s="15"/>
    </row>
    <row r="213" spans="2:5" x14ac:dyDescent="0.25">
      <c r="B213" s="15"/>
      <c r="C213" s="15"/>
      <c r="D213" s="15"/>
      <c r="E213" s="15"/>
    </row>
    <row r="214" spans="2:5" x14ac:dyDescent="0.25">
      <c r="B214" s="15"/>
      <c r="C214" s="15"/>
      <c r="D214" s="15"/>
      <c r="E214" s="15"/>
    </row>
    <row r="215" spans="2:5" x14ac:dyDescent="0.25">
      <c r="B215" s="15"/>
      <c r="C215" s="15"/>
      <c r="D215" s="15"/>
      <c r="E215" s="15"/>
    </row>
    <row r="216" spans="2:5" x14ac:dyDescent="0.25">
      <c r="B216" s="15"/>
      <c r="C216" s="15"/>
      <c r="D216" s="15"/>
      <c r="E216" s="15"/>
    </row>
    <row r="217" spans="2:5" x14ac:dyDescent="0.25">
      <c r="B217" s="15"/>
      <c r="C217" s="15"/>
      <c r="D217" s="15"/>
      <c r="E217" s="15"/>
    </row>
    <row r="218" spans="2:5" x14ac:dyDescent="0.25">
      <c r="B218" s="15"/>
      <c r="C218" s="15"/>
      <c r="D218" s="15"/>
      <c r="E218" s="15"/>
    </row>
    <row r="219" spans="2:5" x14ac:dyDescent="0.25">
      <c r="B219" s="15"/>
      <c r="C219" s="15"/>
      <c r="D219" s="15"/>
      <c r="E219" s="15"/>
    </row>
    <row r="220" spans="2:5" x14ac:dyDescent="0.25">
      <c r="B220" s="15"/>
      <c r="C220" s="15"/>
      <c r="D220" s="15"/>
      <c r="E220" s="15"/>
    </row>
    <row r="221" spans="2:5" x14ac:dyDescent="0.25">
      <c r="B221" s="15"/>
      <c r="C221" s="15"/>
      <c r="D221" s="15"/>
      <c r="E221" s="15"/>
    </row>
    <row r="222" spans="2:5" x14ac:dyDescent="0.25">
      <c r="B222" s="15"/>
      <c r="C222" s="15"/>
      <c r="D222" s="15"/>
      <c r="E222" s="15"/>
    </row>
    <row r="223" spans="2:5" x14ac:dyDescent="0.25">
      <c r="B223" s="15"/>
      <c r="C223" s="15"/>
      <c r="D223" s="15"/>
      <c r="E223" s="15"/>
    </row>
    <row r="224" spans="2:5" x14ac:dyDescent="0.25">
      <c r="B224" s="15"/>
      <c r="C224" s="15"/>
      <c r="D224" s="15"/>
      <c r="E224" s="15"/>
    </row>
    <row r="225" spans="2:5" x14ac:dyDescent="0.25">
      <c r="B225" s="15"/>
      <c r="C225" s="15"/>
      <c r="D225" s="15"/>
      <c r="E225" s="15"/>
    </row>
    <row r="226" spans="2:5" x14ac:dyDescent="0.25">
      <c r="B226" s="15"/>
      <c r="C226" s="15"/>
      <c r="D226" s="15"/>
      <c r="E226" s="15"/>
    </row>
    <row r="227" spans="2:5" x14ac:dyDescent="0.25">
      <c r="B227" s="15"/>
      <c r="C227" s="15"/>
      <c r="D227" s="15"/>
      <c r="E227" s="15"/>
    </row>
    <row r="228" spans="2:5" x14ac:dyDescent="0.25">
      <c r="B228" s="15"/>
      <c r="C228" s="15"/>
      <c r="D228" s="15"/>
      <c r="E228" s="15"/>
    </row>
    <row r="229" spans="2:5" x14ac:dyDescent="0.25">
      <c r="B229" s="15"/>
      <c r="C229" s="15"/>
      <c r="D229" s="15"/>
      <c r="E229" s="15"/>
    </row>
    <row r="230" spans="2:5" x14ac:dyDescent="0.25">
      <c r="B230" s="15"/>
      <c r="C230" s="15"/>
      <c r="D230" s="15"/>
      <c r="E230" s="15"/>
    </row>
    <row r="231" spans="2:5" x14ac:dyDescent="0.25">
      <c r="B231" s="15"/>
      <c r="C231" s="15"/>
      <c r="D231" s="15"/>
      <c r="E231" s="15"/>
    </row>
    <row r="232" spans="2:5" x14ac:dyDescent="0.25">
      <c r="B232" s="15"/>
      <c r="C232" s="15"/>
      <c r="D232" s="15"/>
      <c r="E232" s="15"/>
    </row>
    <row r="233" spans="2:5" x14ac:dyDescent="0.25">
      <c r="B233" s="15"/>
      <c r="C233" s="15"/>
      <c r="D233" s="15"/>
      <c r="E233" s="15"/>
    </row>
    <row r="234" spans="2:5" x14ac:dyDescent="0.25">
      <c r="B234" s="15"/>
      <c r="C234" s="15"/>
      <c r="D234" s="15"/>
      <c r="E234" s="15"/>
    </row>
    <row r="235" spans="2:5" x14ac:dyDescent="0.25">
      <c r="B235" s="15"/>
      <c r="C235" s="15"/>
      <c r="D235" s="15"/>
      <c r="E235" s="15"/>
    </row>
    <row r="236" spans="2:5" x14ac:dyDescent="0.25">
      <c r="B236" s="15"/>
      <c r="C236" s="15"/>
      <c r="D236" s="15"/>
      <c r="E236" s="15"/>
    </row>
    <row r="237" spans="2:5" x14ac:dyDescent="0.25">
      <c r="B237" s="15"/>
      <c r="C237" s="15"/>
      <c r="D237" s="15"/>
      <c r="E237" s="15"/>
    </row>
    <row r="238" spans="2:5" x14ac:dyDescent="0.25">
      <c r="B238" s="15"/>
      <c r="C238" s="15"/>
      <c r="D238" s="15"/>
      <c r="E238" s="15"/>
    </row>
    <row r="239" spans="2:5" x14ac:dyDescent="0.25">
      <c r="B239" s="15"/>
      <c r="C239" s="15"/>
      <c r="D239" s="15"/>
      <c r="E239" s="15"/>
    </row>
    <row r="240" spans="2:5" x14ac:dyDescent="0.25">
      <c r="B240" s="15"/>
      <c r="C240" s="15"/>
      <c r="D240" s="15"/>
      <c r="E240" s="15"/>
    </row>
    <row r="241" spans="2:5" x14ac:dyDescent="0.25">
      <c r="B241" s="15"/>
      <c r="C241" s="15"/>
      <c r="D241" s="15"/>
      <c r="E241" s="15"/>
    </row>
    <row r="242" spans="2:5" x14ac:dyDescent="0.25">
      <c r="B242" s="15"/>
      <c r="C242" s="15"/>
      <c r="D242" s="15"/>
      <c r="E242" s="15"/>
    </row>
    <row r="243" spans="2:5" x14ac:dyDescent="0.25">
      <c r="B243" s="15"/>
      <c r="C243" s="15"/>
      <c r="D243" s="15"/>
      <c r="E243" s="15"/>
    </row>
    <row r="244" spans="2:5" x14ac:dyDescent="0.25">
      <c r="B244" s="15"/>
      <c r="C244" s="15"/>
      <c r="D244" s="15"/>
      <c r="E244" s="15"/>
    </row>
    <row r="245" spans="2:5" x14ac:dyDescent="0.25">
      <c r="B245" s="15"/>
      <c r="C245" s="15"/>
      <c r="D245" s="15"/>
      <c r="E245" s="15"/>
    </row>
    <row r="246" spans="2:5" x14ac:dyDescent="0.25">
      <c r="B246" s="15"/>
      <c r="C246" s="15"/>
      <c r="D246" s="15"/>
      <c r="E246" s="15"/>
    </row>
    <row r="247" spans="2:5" x14ac:dyDescent="0.25">
      <c r="B247" s="15"/>
      <c r="C247" s="15"/>
      <c r="D247" s="15"/>
      <c r="E247" s="15"/>
    </row>
    <row r="248" spans="2:5" x14ac:dyDescent="0.25">
      <c r="B248" s="15"/>
      <c r="C248" s="15"/>
      <c r="D248" s="15"/>
      <c r="E248" s="15"/>
    </row>
    <row r="249" spans="2:5" x14ac:dyDescent="0.25">
      <c r="B249" s="15"/>
      <c r="C249" s="15"/>
      <c r="D249" s="15"/>
      <c r="E249" s="15"/>
    </row>
    <row r="250" spans="2:5" x14ac:dyDescent="0.25">
      <c r="B250" s="15"/>
      <c r="C250" s="15"/>
      <c r="D250" s="15"/>
      <c r="E250" s="15"/>
    </row>
    <row r="251" spans="2:5" x14ac:dyDescent="0.25">
      <c r="B251" s="15"/>
      <c r="C251" s="15"/>
      <c r="D251" s="15"/>
      <c r="E251" s="15"/>
    </row>
    <row r="252" spans="2:5" x14ac:dyDescent="0.25">
      <c r="B252" s="15"/>
      <c r="C252" s="15"/>
      <c r="D252" s="15"/>
      <c r="E252" s="15"/>
    </row>
    <row r="253" spans="2:5" x14ac:dyDescent="0.25">
      <c r="B253" s="15"/>
      <c r="C253" s="15"/>
      <c r="D253" s="15"/>
      <c r="E253" s="15"/>
    </row>
    <row r="254" spans="2:5" x14ac:dyDescent="0.25">
      <c r="B254" s="15"/>
      <c r="C254" s="15"/>
      <c r="D254" s="15"/>
      <c r="E254" s="15"/>
    </row>
    <row r="255" spans="2:5" x14ac:dyDescent="0.25">
      <c r="B255" s="15"/>
      <c r="C255" s="15"/>
      <c r="D255" s="15"/>
      <c r="E255" s="15"/>
    </row>
    <row r="256" spans="2:5" x14ac:dyDescent="0.25">
      <c r="B256" s="15"/>
      <c r="C256" s="15"/>
      <c r="D256" s="15"/>
      <c r="E256" s="15"/>
    </row>
  </sheetData>
  <mergeCells count="4">
    <mergeCell ref="D1:E1"/>
    <mergeCell ref="D2:E2"/>
    <mergeCell ref="B2:C2"/>
    <mergeCell ref="B1:C1"/>
  </mergeCells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Branch Monthly Sales</vt:lpstr>
      <vt:lpstr>OrlandoEnquiries</vt:lpstr>
      <vt:lpstr>OrlandoPolicies</vt:lpstr>
      <vt:lpstr>TampaEnquiries</vt:lpstr>
      <vt:lpstr>TampaPolicies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5</dc:title>
  <dc:creator>Lawrence Rose</dc:creator>
  <cp:lastModifiedBy>Toby Arnott</cp:lastModifiedBy>
  <dcterms:created xsi:type="dcterms:W3CDTF">2010-01-18T19:09:29Z</dcterms:created>
  <dcterms:modified xsi:type="dcterms:W3CDTF">2016-09-06T13:43:21Z</dcterms:modified>
  <cp:contentStatus/>
</cp:coreProperties>
</file>